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workbookPr codeName="ThisWorkbook" defaultThemeVersion="124226"/>
  <mc:AlternateContent xmlns:mc="http://schemas.openxmlformats.org/markup-compatibility/2006">
    <mc:Choice Requires="x15">
      <x15ac:absPath xmlns:x15ac="http://schemas.microsoft.com/office/spreadsheetml/2010/11/ac" url="https://infosystechnologies-my.sharepoint.com/personal/jagadeesha_t_ad_infosys_com/Documents/FA4/"/>
    </mc:Choice>
  </mc:AlternateContent>
  <xr:revisionPtr revIDLastSave="0" documentId="13_ncr:1_{5501AF22-7912-4CCE-8829-66902FAF3A79}" xr6:coauthVersionLast="45" xr6:coauthVersionMax="45" xr10:uidLastSave="{00000000-0000-0000-0000-000000000000}"/>
  <bookViews>
    <workbookView xWindow="-120" yWindow="-120" windowWidth="20730" windowHeight="11160" tabRatio="775" activeTab="6" xr2:uid="{00000000-000D-0000-FFFF-FFFF00000000}"/>
  </bookViews>
  <sheets>
    <sheet name="Dashboard" sheetId="56" r:id="rId1"/>
    <sheet name="Product Backlog" sheetId="52" r:id="rId2"/>
    <sheet name="Sprint I Backlog" sheetId="57" r:id="rId3"/>
    <sheet name="Sprint II Backlog" sheetId="54" r:id="rId4"/>
    <sheet name="Stand up Meeting" sheetId="50" r:id="rId5"/>
    <sheet name="Retrospection" sheetId="34" r:id="rId6"/>
    <sheet name="Reference Data" sheetId="55" r:id="rId7"/>
  </sheet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57" l="1"/>
  <c r="K3" i="57"/>
  <c r="L3" i="57"/>
  <c r="I3" i="57"/>
  <c r="E17" i="55" l="1"/>
  <c r="E8" i="55"/>
  <c r="L3" i="54"/>
  <c r="E7" i="55" l="1"/>
  <c r="K3" i="54"/>
  <c r="J3" i="54"/>
  <c r="I3" i="54"/>
  <c r="E16" i="55" l="1"/>
  <c r="D14" i="55"/>
  <c r="H8" i="55" s="1"/>
  <c r="E15" i="55"/>
  <c r="D5" i="55"/>
  <c r="D6" i="55" s="1"/>
  <c r="D7" i="55" s="1"/>
  <c r="D8" i="55" s="1"/>
  <c r="E6" i="55"/>
  <c r="E5" i="55" s="1"/>
  <c r="I7" i="55" s="1"/>
  <c r="D15" i="55" l="1"/>
  <c r="D16" i="55" s="1"/>
  <c r="D17" i="55" s="1"/>
  <c r="E14" i="55"/>
  <c r="I8" i="55" s="1"/>
  <c r="H7"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400-000001000000}">
      <text>
        <r>
          <rPr>
            <sz val="9"/>
            <color indexed="81"/>
            <rFont val="Tahoma"/>
            <family val="2"/>
          </rPr>
          <t xml:space="preserve">This is the total task estimated in hours for all the user stories </t>
        </r>
      </text>
    </comment>
    <comment ref="J3" authorId="0" shapeId="0" xr:uid="{00000000-0006-0000-0400-000002000000}">
      <text>
        <r>
          <rPr>
            <sz val="9"/>
            <color indexed="81"/>
            <rFont val="Tahoma"/>
            <family val="2"/>
          </rPr>
          <t xml:space="preserve">Pending effort hours after completion of day 1 work
</t>
        </r>
      </text>
    </comment>
    <comment ref="K3" authorId="0" shapeId="0" xr:uid="{00000000-0006-0000-0400-000003000000}">
      <text>
        <r>
          <rPr>
            <sz val="9"/>
            <color indexed="81"/>
            <rFont val="Tahoma"/>
            <family val="2"/>
          </rPr>
          <t>Pending effort hours after completion of day 2 work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 ref="H8" authorId="1" shapeId="0" xr:uid="{00000000-0006-0000-0600-000005000000}">
      <text>
        <r>
          <rPr>
            <sz val="9"/>
            <color indexed="81"/>
            <rFont val="Tahoma"/>
            <family val="2"/>
          </rPr>
          <t>Planned hours of effort in Sprint 2</t>
        </r>
      </text>
    </comment>
    <comment ref="I8" authorId="1" shapeId="0" xr:uid="{00000000-0006-0000-0600-000006000000}">
      <text>
        <r>
          <rPr>
            <sz val="9"/>
            <color indexed="81"/>
            <rFont val="Tahoma"/>
            <family val="2"/>
          </rPr>
          <t xml:space="preserve">Story points completed in Sprint 2
</t>
        </r>
      </text>
    </comment>
    <comment ref="E15" authorId="0" shapeId="0" xr:uid="{00000000-0006-0000-0600-000007000000}">
      <text>
        <r>
          <rPr>
            <sz val="9"/>
            <color indexed="81"/>
            <rFont val="Tahoma"/>
            <family val="2"/>
          </rPr>
          <t>Effort hours pending after day 1 of sprint 2</t>
        </r>
      </text>
    </comment>
    <comment ref="E16" authorId="0" shapeId="0" xr:uid="{00000000-0006-0000-0600-000008000000}">
      <text>
        <r>
          <rPr>
            <sz val="9"/>
            <color indexed="81"/>
            <rFont val="Tahoma"/>
            <family val="2"/>
          </rPr>
          <t>Effort hours pending after day 2 of sprint 2</t>
        </r>
      </text>
    </comment>
  </commentList>
</comments>
</file>

<file path=xl/sharedStrings.xml><?xml version="1.0" encoding="utf-8"?>
<sst xmlns="http://schemas.openxmlformats.org/spreadsheetml/2006/main" count="104" uniqueCount="69">
  <si>
    <t>Status</t>
  </si>
  <si>
    <t>US ID</t>
  </si>
  <si>
    <t>Task Description</t>
  </si>
  <si>
    <t>Task ID</t>
  </si>
  <si>
    <t>Team Member</t>
  </si>
  <si>
    <t>Activity</t>
  </si>
  <si>
    <t>User Story Description</t>
  </si>
  <si>
    <t>Task Completion Date</t>
  </si>
  <si>
    <t>Task Start Date</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</si>
  <si>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</si>
  <si>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</si>
  <si>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</si>
  <si>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</si>
  <si>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</si>
  <si>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</si>
  <si>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</si>
  <si>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</si>
  <si>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</si>
  <si>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</si>
  <si>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</si>
  <si>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</si>
  <si>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</si>
  <si>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</si>
  <si>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</si>
  <si>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</si>
  <si>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</si>
  <si>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</si>
  <si>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T1</t>
  </si>
  <si>
    <t>T3</t>
  </si>
  <si>
    <t>T4</t>
  </si>
  <si>
    <t>T5</t>
  </si>
  <si>
    <t>T6</t>
  </si>
  <si>
    <t>T7</t>
  </si>
  <si>
    <t>Original Estimate Effort (In Hours)</t>
  </si>
  <si>
    <t xml:space="preserve">            TEAM VELOCITY CHART</t>
  </si>
  <si>
    <t>Sprint</t>
  </si>
  <si>
    <t>Planned Sprint</t>
  </si>
  <si>
    <t>Actual Sprint</t>
  </si>
  <si>
    <t>Day</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</si>
  <si>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</si>
  <si>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</si>
  <si>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</si>
  <si>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</si>
  <si>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</si>
  <si>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</si>
  <si>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</si>
  <si>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</si>
  <si>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</si>
  <si>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</si>
  <si>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</si>
  <si>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</si>
  <si>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</si>
  <si>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</si>
  <si>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</si>
  <si>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</si>
  <si>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1.5 days</t>
  </si>
  <si>
    <t>Design of UI (Wire Frame)</t>
  </si>
  <si>
    <t>Managing source code with Git &amp; publishing final build using Maven</t>
  </si>
  <si>
    <t>Consuming The Exposed WebService from the Existing App</t>
  </si>
  <si>
    <t xml:space="preserve">Repurposing  and Filtering  the Data according to new requirement </t>
  </si>
  <si>
    <t>Exposing the Repurposed data  by creating a new  WebService(API) class</t>
  </si>
  <si>
    <t xml:space="preserve">Consuming the Webservice by using an Angular Client </t>
  </si>
  <si>
    <t>Unit testing</t>
  </si>
  <si>
    <t>Day 2</t>
  </si>
  <si>
    <t>Day 3</t>
  </si>
  <si>
    <t>Day1</t>
  </si>
  <si>
    <t>Day2</t>
  </si>
  <si>
    <t>Day3</t>
  </si>
  <si>
    <t>US-01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</si>
</sst>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20"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
      <sz val="8"/>
      <name val="Arial"/>
    </font>
  </fonts>
  <fills count="10">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45">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2" xfId="0" applyFont="1" applyFill="1" applyBorder="1" applyAlignment="1">
      <alignment horizontal="center" vertical="center"/>
    </xf>
    <xf numFmtId="164" fontId="10" fillId="2" borderId="12" xfId="0" applyNumberFormat="1" applyFont="1" applyFill="1" applyBorder="1" applyAlignment="1">
      <alignment horizontal="left" vertical="center"/>
    </xf>
    <xf numFmtId="0" fontId="10" fillId="2" borderId="13" xfId="0" applyFont="1" applyFill="1" applyBorder="1" applyAlignment="1">
      <alignment horizontal="left" vertical="center"/>
    </xf>
    <xf numFmtId="0" fontId="10" fillId="2" borderId="14" xfId="0" applyFont="1" applyFill="1" applyBorder="1" applyAlignment="1">
      <alignment vertical="center"/>
    </xf>
    <xf numFmtId="0" fontId="10" fillId="2" borderId="15"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2"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Border="1" applyAlignment="1" applyProtection="1">
      <alignment wrapText="1"/>
      <protection locked="0"/>
    </xf>
    <xf numFmtId="0" fontId="7" fillId="0" borderId="1" xfId="0" applyFont="1" applyBorder="1" applyAlignment="1" applyProtection="1">
      <alignment horizontal="center" vertical="center" wrapText="1"/>
      <protection locked="0"/>
    </xf>
    <xf numFmtId="0" fontId="3" fillId="0" borderId="4" xfId="2" applyNumberFormat="1" applyFont="1" applyBorder="1" applyAlignment="1" applyProtection="1">
      <alignment horizontal="center" vertical="center"/>
      <protection locked="0"/>
    </xf>
    <xf numFmtId="0" fontId="3" fillId="0" borderId="4" xfId="2" applyFont="1" applyBorder="1" applyAlignment="1" applyProtection="1">
      <alignment horizontal="center" vertical="center"/>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3" fillId="0" borderId="1" xfId="0" applyFont="1" applyFill="1" applyBorder="1" applyProtection="1">
      <protection locked="0"/>
    </xf>
    <xf numFmtId="0" fontId="13" fillId="6" borderId="2" xfId="0" applyFont="1" applyFill="1" applyBorder="1" applyAlignment="1" applyProtection="1">
      <alignment horizontal="center" vertical="center" wrapText="1"/>
    </xf>
    <xf numFmtId="0" fontId="7" fillId="0" borderId="4" xfId="0" applyFont="1" applyBorder="1" applyAlignment="1" applyProtection="1">
      <alignment horizontal="center" vertical="center" wrapText="1"/>
      <protection locked="0"/>
    </xf>
    <xf numFmtId="0" fontId="3" fillId="0" borderId="6" xfId="0" applyFont="1" applyBorder="1" applyAlignment="1" applyProtection="1">
      <alignment wrapText="1"/>
      <protection locked="0"/>
    </xf>
    <xf numFmtId="0" fontId="7" fillId="0" borderId="6" xfId="0" applyFont="1" applyBorder="1" applyAlignment="1" applyProtection="1">
      <alignment horizontal="center" vertical="center" wrapText="1"/>
      <protection locked="0"/>
    </xf>
    <xf numFmtId="0" fontId="3" fillId="0" borderId="6" xfId="2" applyFont="1" applyBorder="1" applyAlignment="1" applyProtection="1">
      <alignment horizontal="center" vertical="center"/>
      <protection locked="0"/>
    </xf>
    <xf numFmtId="0" fontId="3" fillId="0" borderId="4" xfId="0" applyFont="1" applyFill="1" applyBorder="1" applyProtection="1">
      <protection locked="0"/>
    </xf>
    <xf numFmtId="0" fontId="3" fillId="0" borderId="6" xfId="0" applyFont="1" applyFill="1" applyBorder="1" applyProtection="1">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14" fontId="3" fillId="0" borderId="1" xfId="0" applyNumberFormat="1" applyFont="1" applyFill="1" applyBorder="1" applyAlignment="1">
      <alignment horizontal="center" vertical="center"/>
    </xf>
    <xf numFmtId="0" fontId="18"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1" xfId="0" applyFont="1" applyBorder="1" applyAlignment="1" applyProtection="1">
      <alignment vertical="center" wrapText="1"/>
      <protection locked="0"/>
    </xf>
    <xf numFmtId="0" fontId="1" fillId="0" borderId="1" xfId="0" applyFont="1" applyBorder="1" applyAlignment="1">
      <alignment horizontal="center" vertical="center"/>
    </xf>
    <xf numFmtId="0" fontId="3" fillId="0" borderId="4" xfId="0" applyFont="1" applyBorder="1" applyAlignment="1" applyProtection="1">
      <alignment horizontal="center" vertical="center"/>
      <protection locked="0"/>
    </xf>
    <xf numFmtId="0" fontId="3" fillId="0" borderId="1" xfId="0" applyFont="1" applyFill="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0" fontId="3" fillId="0" borderId="1" xfId="2"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1" fillId="0" borderId="1" xfId="0" applyFont="1" applyBorder="1" applyProtection="1">
      <protection locked="0"/>
    </xf>
    <xf numFmtId="0" fontId="1" fillId="0" borderId="1" xfId="0" applyFont="1" applyBorder="1" applyAlignment="1" applyProtection="1">
      <alignment horizontal="right" wrapText="1"/>
      <protection locked="0"/>
    </xf>
    <xf numFmtId="0" fontId="1" fillId="0" borderId="1" xfId="0" applyFont="1" applyBorder="1" applyAlignment="1" applyProtection="1">
      <alignment vertical="top" wrapText="1"/>
      <protection locked="0"/>
    </xf>
    <xf numFmtId="164" fontId="1" fillId="0" borderId="1" xfId="0" applyNumberFormat="1" applyFont="1" applyBorder="1" applyAlignment="1" applyProtection="1">
      <alignment wrapText="1"/>
      <protection locked="0"/>
    </xf>
    <xf numFmtId="0" fontId="1" fillId="0" borderId="1" xfId="0" applyFont="1" applyBorder="1" applyAlignment="1" applyProtection="1">
      <alignment wrapText="1"/>
      <protection locked="0"/>
    </xf>
    <xf numFmtId="0" fontId="3" fillId="0" borderId="4" xfId="0" applyFont="1" applyFill="1" applyBorder="1" applyAlignment="1" applyProtection="1">
      <alignment horizontal="center" vertical="center" wrapText="1"/>
      <protection locked="0"/>
    </xf>
    <xf numFmtId="15" fontId="3" fillId="0" borderId="4" xfId="0" applyNumberFormat="1" applyFont="1" applyBorder="1" applyAlignment="1" applyProtection="1">
      <alignment horizontal="center" vertical="center"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Border="1" applyAlignment="1" applyProtection="1">
      <alignment vertical="center" wrapText="1"/>
      <protection locked="0"/>
    </xf>
    <xf numFmtId="15" fontId="3" fillId="0" borderId="3"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23" xfId="2" applyFont="1" applyBorder="1" applyAlignment="1" applyProtection="1">
      <alignment horizontal="center" vertical="center"/>
      <protection locked="0"/>
    </xf>
    <xf numFmtId="0" fontId="3" fillId="0" borderId="2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6" xfId="0" applyFont="1" applyBorder="1" applyAlignment="1" applyProtection="1">
      <alignment vertical="center" wrapText="1"/>
      <protection locked="0"/>
    </xf>
    <xf numFmtId="15" fontId="3" fillId="0" borderId="6" xfId="0" applyNumberFormat="1" applyFont="1" applyBorder="1" applyAlignment="1" applyProtection="1">
      <alignment horizontal="center" vertical="center" wrapText="1"/>
      <protection locked="0"/>
    </xf>
    <xf numFmtId="0" fontId="3" fillId="0" borderId="6" xfId="0" applyFont="1" applyBorder="1" applyAlignment="1" applyProtection="1">
      <alignment horizontal="center" vertical="center" wrapText="1"/>
      <protection locked="0"/>
    </xf>
    <xf numFmtId="0" fontId="3" fillId="0" borderId="6" xfId="2" applyNumberFormat="1" applyFont="1" applyBorder="1" applyAlignment="1" applyProtection="1">
      <alignment horizontal="center" vertical="center"/>
      <protection locked="0"/>
    </xf>
    <xf numFmtId="0" fontId="3" fillId="0" borderId="27" xfId="2" applyFont="1" applyBorder="1" applyAlignment="1" applyProtection="1">
      <alignment horizontal="center" vertical="center"/>
      <protection locked="0"/>
    </xf>
    <xf numFmtId="0" fontId="3" fillId="0" borderId="3" xfId="0" applyFont="1" applyBorder="1" applyAlignment="1" applyProtection="1">
      <alignment wrapText="1"/>
      <protection locked="0"/>
    </xf>
    <xf numFmtId="0" fontId="3" fillId="0" borderId="0" xfId="0" applyFont="1" applyBorder="1" applyAlignment="1" applyProtection="1">
      <alignment vertical="center"/>
      <protection locked="0"/>
    </xf>
    <xf numFmtId="0" fontId="14" fillId="7" borderId="0" xfId="0" applyFont="1" applyFill="1" applyAlignment="1">
      <alignment horizontal="center" vertical="center" wrapText="1"/>
    </xf>
    <xf numFmtId="0" fontId="15" fillId="4" borderId="7" xfId="0" applyFont="1" applyFill="1" applyBorder="1" applyAlignment="1">
      <alignment horizontal="center" vertical="center"/>
    </xf>
    <xf numFmtId="0" fontId="15" fillId="4" borderId="0" xfId="0" applyFont="1" applyFill="1" applyBorder="1" applyAlignment="1">
      <alignment horizontal="center" vertical="center"/>
    </xf>
    <xf numFmtId="0" fontId="10" fillId="2" borderId="13" xfId="0" applyFont="1" applyFill="1" applyBorder="1" applyAlignment="1">
      <alignment horizontal="center" vertical="center"/>
    </xf>
    <xf numFmtId="0" fontId="10" fillId="2" borderId="14" xfId="0" applyFont="1" applyFill="1" applyBorder="1" applyAlignment="1">
      <alignment horizontal="center" vertical="center"/>
    </xf>
    <xf numFmtId="15" fontId="10" fillId="2" borderId="13" xfId="0" applyNumberFormat="1" applyFont="1" applyFill="1" applyBorder="1" applyAlignment="1">
      <alignment horizontal="center" vertical="center"/>
    </xf>
    <xf numFmtId="15" fontId="10" fillId="2" borderId="15" xfId="0" applyNumberFormat="1" applyFont="1" applyFill="1" applyBorder="1" applyAlignment="1">
      <alignment horizontal="center" vertical="center"/>
    </xf>
    <xf numFmtId="0" fontId="10" fillId="2" borderId="15" xfId="0" applyFont="1" applyFill="1" applyBorder="1" applyAlignment="1">
      <alignment horizontal="center" vertical="center"/>
    </xf>
    <xf numFmtId="164" fontId="10" fillId="2" borderId="12" xfId="0" applyNumberFormat="1" applyFont="1" applyFill="1" applyBorder="1" applyAlignment="1">
      <alignment horizontal="center" vertical="center"/>
    </xf>
    <xf numFmtId="0" fontId="3" fillId="0" borderId="22" xfId="0" applyFont="1" applyBorder="1" applyAlignment="1" applyProtection="1">
      <alignment horizontal="center" vertical="center"/>
      <protection locked="0"/>
    </xf>
    <xf numFmtId="0" fontId="3" fillId="0" borderId="24" xfId="0" applyFont="1" applyBorder="1" applyAlignment="1" applyProtection="1">
      <alignment horizontal="center" vertical="center"/>
      <protection locked="0"/>
    </xf>
    <xf numFmtId="0" fontId="3" fillId="0" borderId="26" xfId="0" applyFont="1" applyBorder="1" applyAlignment="1" applyProtection="1">
      <alignment horizontal="center" vertical="center"/>
      <protection locked="0"/>
    </xf>
    <xf numFmtId="0" fontId="3" fillId="7" borderId="28" xfId="0" applyFont="1" applyFill="1" applyBorder="1" applyAlignment="1" applyProtection="1">
      <alignment horizontal="left" vertical="center"/>
      <protection locked="0"/>
    </xf>
    <xf numFmtId="0" fontId="3" fillId="7" borderId="5" xfId="0" applyFont="1" applyFill="1" applyBorder="1" applyAlignment="1" applyProtection="1">
      <alignment horizontal="left" vertical="center"/>
      <protection locked="0"/>
    </xf>
    <xf numFmtId="0" fontId="13" fillId="9" borderId="2" xfId="0" applyFont="1" applyFill="1" applyBorder="1" applyAlignment="1" applyProtection="1">
      <alignment horizontal="center" vertical="center" wrapText="1"/>
      <protection locked="0"/>
    </xf>
    <xf numFmtId="0" fontId="13" fillId="9" borderId="4" xfId="0" applyFont="1" applyFill="1" applyBorder="1" applyAlignment="1" applyProtection="1">
      <alignment horizontal="center" vertical="center" wrapText="1"/>
      <protection locked="0"/>
    </xf>
    <xf numFmtId="164" fontId="13" fillId="9" borderId="2" xfId="0" applyNumberFormat="1" applyFont="1" applyFill="1" applyBorder="1" applyAlignment="1" applyProtection="1">
      <alignment horizontal="center" vertical="center" wrapText="1"/>
      <protection locked="0"/>
    </xf>
    <xf numFmtId="164" fontId="13" fillId="9" borderId="4" xfId="0" applyNumberFormat="1" applyFont="1" applyFill="1" applyBorder="1" applyAlignment="1" applyProtection="1">
      <alignment horizontal="center" vertical="center" wrapText="1"/>
      <protection locked="0"/>
    </xf>
    <xf numFmtId="0" fontId="13" fillId="9" borderId="16" xfId="0" applyFont="1" applyFill="1" applyBorder="1" applyAlignment="1" applyProtection="1">
      <alignment horizontal="center" vertical="center" wrapText="1"/>
      <protection locked="0"/>
    </xf>
    <xf numFmtId="0" fontId="13" fillId="9" borderId="17" xfId="0" applyFont="1" applyFill="1" applyBorder="1" applyAlignment="1" applyProtection="1">
      <alignment horizontal="center" vertical="center" wrapText="1"/>
      <protection locked="0"/>
    </xf>
    <xf numFmtId="49" fontId="13" fillId="9" borderId="11" xfId="0" applyNumberFormat="1" applyFont="1" applyFill="1" applyBorder="1" applyAlignment="1" applyProtection="1">
      <alignment horizontal="center" vertical="center" wrapText="1"/>
      <protection locked="0"/>
    </xf>
    <xf numFmtId="49" fontId="13" fillId="9" borderId="18" xfId="0" applyNumberFormat="1" applyFont="1" applyFill="1" applyBorder="1" applyAlignment="1" applyProtection="1">
      <alignment horizontal="center" vertical="center" wrapText="1"/>
      <protection locked="0"/>
    </xf>
    <xf numFmtId="0" fontId="16" fillId="8" borderId="19" xfId="0" applyFont="1" applyFill="1" applyBorder="1" applyAlignment="1" applyProtection="1">
      <alignment horizontal="center" vertical="center" wrapText="1"/>
      <protection locked="0"/>
    </xf>
    <xf numFmtId="0" fontId="16" fillId="8" borderId="0" xfId="0" applyFont="1" applyFill="1" applyBorder="1" applyAlignment="1" applyProtection="1">
      <alignment horizontal="center" vertical="center" wrapText="1"/>
      <protection locked="0"/>
    </xf>
    <xf numFmtId="0" fontId="3" fillId="7" borderId="28" xfId="0" applyFont="1" applyFill="1" applyBorder="1" applyAlignment="1" applyProtection="1">
      <alignment horizontal="center" vertical="center"/>
      <protection locked="0"/>
    </xf>
    <xf numFmtId="0" fontId="3" fillId="7" borderId="5" xfId="0" applyFont="1" applyFill="1" applyBorder="1" applyAlignment="1" applyProtection="1">
      <alignment horizontal="center" vertical="center"/>
      <protection locked="0"/>
    </xf>
    <xf numFmtId="49" fontId="13" fillId="9" borderId="21" xfId="0" applyNumberFormat="1" applyFont="1" applyFill="1" applyBorder="1" applyAlignment="1" applyProtection="1">
      <alignment horizontal="center" vertical="center" wrapText="1"/>
      <protection locked="0"/>
    </xf>
    <xf numFmtId="0" fontId="13" fillId="9" borderId="10" xfId="0" applyFont="1" applyFill="1" applyBorder="1" applyAlignment="1" applyProtection="1">
      <alignment horizontal="center" vertical="center" wrapText="1"/>
      <protection locked="0"/>
    </xf>
    <xf numFmtId="0" fontId="13" fillId="9" borderId="20" xfId="0" applyFont="1" applyFill="1" applyBorder="1" applyAlignment="1" applyProtection="1">
      <alignment horizontal="center" vertical="center" wrapText="1"/>
      <protection locked="0"/>
    </xf>
    <xf numFmtId="0" fontId="13" fillId="9" borderId="8" xfId="0" applyFont="1" applyFill="1" applyBorder="1" applyAlignment="1" applyProtection="1">
      <alignment horizontal="center" vertical="center" wrapText="1"/>
      <protection locked="0"/>
    </xf>
    <xf numFmtId="164" fontId="13" fillId="9" borderId="8" xfId="0" applyNumberFormat="1" applyFont="1" applyFill="1" applyBorder="1" applyAlignment="1" applyProtection="1">
      <alignment horizontal="center" vertical="center" wrapText="1"/>
      <protection locked="0"/>
    </xf>
    <xf numFmtId="0" fontId="16" fillId="8" borderId="28" xfId="0" applyFont="1" applyFill="1" applyBorder="1" applyAlignment="1" applyProtection="1">
      <alignment horizontal="center" vertical="center" wrapText="1"/>
      <protection locked="0"/>
    </xf>
    <xf numFmtId="0" fontId="16" fillId="8" borderId="5" xfId="0" applyFont="1" applyFill="1" applyBorder="1" applyAlignment="1" applyProtection="1">
      <alignment horizontal="center" vertical="center" wrapText="1"/>
      <protection locked="0"/>
    </xf>
    <xf numFmtId="0" fontId="16" fillId="8" borderId="10" xfId="0" applyFont="1" applyFill="1" applyBorder="1" applyAlignment="1" applyProtection="1">
      <alignment horizontal="center" vertical="center" wrapText="1"/>
      <protection locked="0"/>
    </xf>
    <xf numFmtId="0" fontId="1" fillId="0" borderId="10" xfId="0" applyFont="1" applyBorder="1" applyAlignment="1">
      <alignment horizontal="center" vertical="center"/>
    </xf>
    <xf numFmtId="0" fontId="1" fillId="0" borderId="20" xfId="0" applyFont="1" applyBorder="1" applyAlignment="1">
      <alignment horizontal="center" vertical="center"/>
    </xf>
    <xf numFmtId="0" fontId="6" fillId="0" borderId="0" xfId="0" applyFont="1" applyBorder="1" applyAlignment="1">
      <alignment horizontal="center" vertical="center"/>
    </xf>
    <xf numFmtId="0" fontId="6" fillId="0" borderId="9"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9" xfId="0" applyFont="1" applyBorder="1" applyAlignment="1" applyProtection="1">
      <alignment horizontal="left" vertical="center"/>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Data'!$D$5:$D$8</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Data'!$E$5:$E$8</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0</c:v>
                </c:pt>
                <c:pt idx="1">
                  <c:v>0</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0</c:v>
                </c:pt>
                <c:pt idx="1">
                  <c:v>0</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Data'!$D$14:$D$17</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Data'!$E$14:$E$17</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opLeftCell="A13" workbookViewId="0">
      <selection activeCell="M24" sqref="M24"/>
    </sheetView>
  </sheetViews>
  <sheetFormatPr defaultRowHeight="12.75" x14ac:dyDescent="0.2"/>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x14ac:dyDescent="0.2">
      <c r="A1" s="106" t="s">
        <v>9</v>
      </c>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3" spans="1:34" ht="19.5" customHeight="1" x14ac:dyDescent="0.2">
      <c r="A3" s="8" t="s">
        <v>11</v>
      </c>
      <c r="B3" s="9"/>
      <c r="C3" s="8"/>
      <c r="D3" s="108" t="s">
        <v>14</v>
      </c>
      <c r="E3" s="109"/>
      <c r="F3" s="8">
        <v>2</v>
      </c>
      <c r="G3" s="8"/>
      <c r="H3" s="8"/>
      <c r="I3" s="8"/>
      <c r="J3" s="108" t="s">
        <v>50</v>
      </c>
      <c r="K3" s="109"/>
      <c r="L3" s="110"/>
      <c r="M3" s="111"/>
      <c r="N3" s="8"/>
      <c r="O3" s="108" t="s">
        <v>13</v>
      </c>
      <c r="P3" s="109"/>
      <c r="Q3" s="109"/>
      <c r="R3" s="109"/>
      <c r="S3" s="112"/>
      <c r="T3" s="10" t="s">
        <v>55</v>
      </c>
      <c r="U3" s="8"/>
      <c r="V3" s="108" t="s">
        <v>51</v>
      </c>
      <c r="W3" s="109"/>
      <c r="X3" s="109"/>
      <c r="Y3" s="109"/>
      <c r="Z3" s="112"/>
      <c r="AA3" s="113"/>
      <c r="AB3" s="113"/>
      <c r="AC3" s="108" t="s">
        <v>12</v>
      </c>
      <c r="AD3" s="112"/>
      <c r="AE3" s="8"/>
      <c r="AF3" s="11"/>
      <c r="AG3" s="11"/>
      <c r="AH3" s="12"/>
    </row>
    <row r="4" spans="1:34" ht="15" customHeight="1" x14ac:dyDescent="0.2"/>
    <row r="5" spans="1:34" ht="21" customHeight="1" x14ac:dyDescent="0.2">
      <c r="A5" s="105" t="s">
        <v>52</v>
      </c>
      <c r="B5" s="105"/>
      <c r="C5" s="105"/>
      <c r="D5" s="105"/>
      <c r="E5" s="105"/>
      <c r="F5" s="105"/>
      <c r="G5" s="105"/>
      <c r="H5" s="105"/>
      <c r="I5" s="105"/>
      <c r="J5" s="105"/>
      <c r="K5" s="105"/>
      <c r="L5" s="105"/>
      <c r="M5" s="105"/>
      <c r="N5" s="105"/>
    </row>
    <row r="6" spans="1:34" ht="12" customHeight="1" x14ac:dyDescent="0.2">
      <c r="A6" s="105"/>
      <c r="B6" s="105"/>
      <c r="C6" s="105"/>
      <c r="D6" s="105"/>
      <c r="E6" s="105"/>
      <c r="F6" s="105"/>
      <c r="G6" s="105"/>
      <c r="H6" s="105"/>
      <c r="I6" s="105"/>
      <c r="J6" s="105"/>
      <c r="K6" s="105"/>
      <c r="L6" s="105"/>
      <c r="M6" s="105"/>
      <c r="N6" s="105"/>
    </row>
    <row r="7" spans="1:34" ht="22.5" customHeight="1" x14ac:dyDescent="0.2"/>
    <row r="9" spans="1:34" x14ac:dyDescent="0.2">
      <c r="L9" s="64"/>
      <c r="M9" s="64"/>
    </row>
    <row r="10" spans="1:34" ht="24" customHeight="1" x14ac:dyDescent="0.2">
      <c r="L10" s="65"/>
      <c r="M10" s="65"/>
    </row>
    <row r="11" spans="1:34" ht="18" customHeight="1" x14ac:dyDescent="0.2">
      <c r="L11" s="66"/>
      <c r="M11" s="66"/>
    </row>
    <row r="13" spans="1:34" x14ac:dyDescent="0.2">
      <c r="B13" s="25"/>
    </row>
    <row r="31" ht="9.75" customHeight="1" x14ac:dyDescent="0.2"/>
    <row r="32" ht="45" customHeight="1" x14ac:dyDescent="0.2"/>
    <row r="33" spans="12:13" ht="27.75" customHeight="1" x14ac:dyDescent="0.2">
      <c r="L33" s="65"/>
      <c r="M33" s="65"/>
    </row>
    <row r="34" spans="12:13" ht="19.5" customHeight="1" x14ac:dyDescent="0.2">
      <c r="L34" s="66"/>
      <c r="M34" s="66"/>
    </row>
    <row r="47" spans="12:13" ht="27.75" customHeight="1" x14ac:dyDescent="0.2"/>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zoomScale="102" workbookViewId="0">
      <selection activeCell="F2" sqref="F2"/>
    </sheetView>
  </sheetViews>
  <sheetFormatPr defaultRowHeight="12.75" x14ac:dyDescent="0.2"/>
  <cols>
    <col min="2" max="2" width="12.42578125" customWidth="1"/>
    <col min="4" max="4" width="86.28515625" customWidth="1"/>
    <col min="6" max="6" width="20.5703125" customWidth="1"/>
    <col min="7" max="7" width="11" customWidth="1"/>
    <col min="8" max="8" width="20.42578125" customWidth="1"/>
  </cols>
  <sheetData>
    <row r="1" spans="1:8" ht="75.75" customHeight="1" x14ac:dyDescent="0.2">
      <c r="A1" s="30" t="s">
        <v>36</v>
      </c>
      <c r="B1" s="30" t="s">
        <v>37</v>
      </c>
      <c r="C1" s="37" t="s">
        <v>1</v>
      </c>
      <c r="D1" s="37" t="s">
        <v>6</v>
      </c>
      <c r="E1" s="37" t="s">
        <v>15</v>
      </c>
      <c r="F1" s="37" t="s">
        <v>16</v>
      </c>
      <c r="G1" s="37" t="s">
        <v>17</v>
      </c>
      <c r="H1" s="37" t="s">
        <v>0</v>
      </c>
    </row>
    <row r="2" spans="1:8" ht="37.5" customHeight="1" x14ac:dyDescent="0.2">
      <c r="A2" s="5"/>
      <c r="B2" s="5"/>
      <c r="C2" s="32"/>
      <c r="D2" s="34"/>
      <c r="E2" s="17"/>
      <c r="F2" s="17"/>
      <c r="G2" s="71"/>
      <c r="H2" s="17"/>
    </row>
    <row r="3" spans="1:8" ht="37.5" customHeight="1" x14ac:dyDescent="0.2">
      <c r="A3" s="5"/>
      <c r="B3" s="5"/>
      <c r="C3" s="32"/>
      <c r="D3" s="34"/>
      <c r="E3" s="17"/>
      <c r="F3" s="17"/>
      <c r="G3" s="71"/>
      <c r="H3" s="17"/>
    </row>
    <row r="4" spans="1:8" ht="33.75" customHeight="1" x14ac:dyDescent="0.2">
      <c r="A4" s="5"/>
      <c r="B4" s="5"/>
      <c r="C4" s="32"/>
      <c r="D4" s="34"/>
      <c r="E4" s="17"/>
      <c r="F4" s="17"/>
      <c r="G4" s="71"/>
      <c r="H4" s="17"/>
    </row>
    <row r="5" spans="1:8" ht="27.75" customHeight="1" x14ac:dyDescent="0.2">
      <c r="A5" s="5"/>
      <c r="B5" s="5"/>
      <c r="C5" s="32"/>
      <c r="D5" s="34"/>
      <c r="E5" s="17"/>
      <c r="F5" s="17"/>
      <c r="G5" s="71"/>
      <c r="H5" s="17"/>
    </row>
    <row r="6" spans="1:8" ht="29.25" customHeight="1" x14ac:dyDescent="0.2">
      <c r="A6" s="5"/>
      <c r="B6" s="5"/>
      <c r="C6" s="32"/>
      <c r="D6" s="24"/>
      <c r="E6" s="17"/>
      <c r="F6" s="17"/>
      <c r="G6" s="18"/>
      <c r="H6" s="17"/>
    </row>
    <row r="7" spans="1:8" x14ac:dyDescent="0.2">
      <c r="A7" s="5"/>
      <c r="B7" s="5"/>
      <c r="C7" s="32"/>
      <c r="D7" s="24"/>
      <c r="E7" s="17"/>
      <c r="F7" s="17"/>
      <c r="G7" s="17"/>
      <c r="H7" s="17"/>
    </row>
    <row r="8" spans="1:8" x14ac:dyDescent="0.2">
      <c r="A8" s="5"/>
      <c r="B8" s="5"/>
      <c r="C8" s="32"/>
      <c r="D8" s="24"/>
      <c r="E8" s="17"/>
      <c r="F8" s="17"/>
      <c r="G8" s="18"/>
      <c r="H8" s="17"/>
    </row>
    <row r="9" spans="1:8" x14ac:dyDescent="0.2">
      <c r="A9" s="5"/>
      <c r="B9" s="5"/>
      <c r="C9" s="36"/>
      <c r="D9" s="24"/>
      <c r="E9" s="17"/>
      <c r="F9" s="17"/>
      <c r="G9" s="18"/>
      <c r="H9" s="17"/>
    </row>
    <row r="10" spans="1:8" x14ac:dyDescent="0.2">
      <c r="A10" s="5"/>
      <c r="B10" s="5"/>
      <c r="C10" s="36"/>
      <c r="D10" s="24"/>
      <c r="E10" s="17"/>
      <c r="F10" s="17"/>
      <c r="G10" s="18"/>
      <c r="H10" s="17"/>
    </row>
    <row r="11" spans="1:8" x14ac:dyDescent="0.2">
      <c r="A11" s="5"/>
      <c r="B11" s="5"/>
      <c r="C11" s="36"/>
      <c r="D11" s="34"/>
      <c r="E11" s="17"/>
      <c r="F11" s="17"/>
      <c r="G11" s="17"/>
      <c r="H11" s="17"/>
    </row>
    <row r="12" spans="1:8" x14ac:dyDescent="0.2">
      <c r="A12" s="5"/>
      <c r="B12" s="5"/>
      <c r="C12" s="36"/>
      <c r="D12" s="24"/>
      <c r="E12" s="17"/>
      <c r="F12" s="17"/>
      <c r="G12" s="18"/>
      <c r="H12" s="17"/>
    </row>
    <row r="13" spans="1:8" x14ac:dyDescent="0.2">
      <c r="A13" s="5"/>
      <c r="B13" s="5"/>
      <c r="C13" s="36"/>
      <c r="D13" s="24"/>
      <c r="E13" s="17"/>
      <c r="F13" s="17"/>
      <c r="G13" s="18"/>
      <c r="H13" s="17"/>
    </row>
    <row r="14" spans="1:8" x14ac:dyDescent="0.2">
      <c r="A14" s="5"/>
      <c r="B14" s="5"/>
      <c r="C14" s="36"/>
      <c r="D14" s="24"/>
      <c r="E14" s="17"/>
      <c r="F14" s="17"/>
      <c r="G14" s="18"/>
      <c r="H14" s="17"/>
    </row>
    <row r="15" spans="1:8" x14ac:dyDescent="0.2">
      <c r="A15" s="5"/>
      <c r="B15" s="5"/>
      <c r="C15" s="36"/>
      <c r="D15" s="34"/>
      <c r="E15" s="17"/>
      <c r="F15" s="17"/>
      <c r="G15" s="17"/>
      <c r="H15" s="17"/>
    </row>
    <row r="16" spans="1:8" x14ac:dyDescent="0.2">
      <c r="A16" s="5"/>
      <c r="B16" s="5"/>
      <c r="C16" s="36"/>
      <c r="D16" s="24"/>
      <c r="E16" s="17"/>
      <c r="F16" s="17"/>
      <c r="G16" s="18"/>
      <c r="H16" s="17"/>
    </row>
    <row r="17" spans="1:8" x14ac:dyDescent="0.2">
      <c r="A17" s="5"/>
      <c r="B17" s="5"/>
      <c r="C17" s="36"/>
      <c r="D17" s="24"/>
      <c r="E17" s="17"/>
      <c r="F17" s="17"/>
      <c r="G17" s="18"/>
      <c r="H17" s="17"/>
    </row>
    <row r="18" spans="1:8" x14ac:dyDescent="0.2">
      <c r="A18" s="5"/>
      <c r="B18" s="5"/>
      <c r="C18" s="36"/>
      <c r="D18" s="24"/>
      <c r="E18" s="17"/>
      <c r="F18" s="17"/>
      <c r="G18" s="18"/>
      <c r="H18" s="17"/>
    </row>
    <row r="19" spans="1:8" x14ac:dyDescent="0.2">
      <c r="A19" s="5"/>
      <c r="B19" s="5"/>
      <c r="C19" s="36"/>
      <c r="D19" s="34"/>
      <c r="E19" s="17"/>
      <c r="F19" s="17"/>
      <c r="G19" s="17"/>
      <c r="H19" s="17"/>
    </row>
    <row r="20" spans="1:8" x14ac:dyDescent="0.2">
      <c r="A20" s="5"/>
      <c r="B20" s="5"/>
      <c r="C20" s="36"/>
      <c r="D20" s="24"/>
      <c r="E20" s="17"/>
      <c r="F20" s="17"/>
      <c r="G20" s="18"/>
      <c r="H20" s="17"/>
    </row>
    <row r="21" spans="1:8" x14ac:dyDescent="0.2">
      <c r="A21" s="5"/>
      <c r="B21" s="5"/>
      <c r="C21" s="36"/>
      <c r="D21" s="24"/>
      <c r="E21" s="17"/>
      <c r="F21" s="17"/>
      <c r="G21" s="18"/>
      <c r="H21" s="17"/>
    </row>
    <row r="22" spans="1:8" x14ac:dyDescent="0.2">
      <c r="A22" s="5"/>
      <c r="B22" s="5"/>
      <c r="C22" s="36"/>
      <c r="D22" s="24"/>
      <c r="E22" s="17"/>
      <c r="F22" s="17"/>
      <c r="G22" s="18"/>
      <c r="H22" s="17"/>
    </row>
    <row r="23" spans="1:8" x14ac:dyDescent="0.2">
      <c r="A23" s="5"/>
      <c r="B23" s="5"/>
      <c r="C23" s="36"/>
      <c r="D23" s="34"/>
      <c r="E23" s="17"/>
      <c r="F23" s="17"/>
      <c r="G23" s="17"/>
      <c r="H23" s="17"/>
    </row>
    <row r="24" spans="1:8" x14ac:dyDescent="0.2">
      <c r="A24" s="5"/>
      <c r="B24" s="5"/>
      <c r="C24" s="36"/>
      <c r="D24" s="24"/>
      <c r="E24" s="17"/>
      <c r="F24" s="17"/>
      <c r="G24" s="18"/>
      <c r="H24" s="17"/>
    </row>
    <row r="25" spans="1:8" x14ac:dyDescent="0.2">
      <c r="A25" s="5"/>
      <c r="B25" s="5"/>
      <c r="C25" s="36"/>
      <c r="D25" s="24"/>
      <c r="E25" s="17"/>
      <c r="F25" s="17"/>
      <c r="G25" s="18"/>
      <c r="H25" s="17"/>
    </row>
    <row r="26" spans="1:8" x14ac:dyDescent="0.2">
      <c r="A26" s="5"/>
      <c r="B26" s="5"/>
      <c r="C26" s="36"/>
      <c r="D26" s="24"/>
      <c r="E26" s="17"/>
      <c r="F26" s="17"/>
      <c r="G26" s="18"/>
      <c r="H26" s="17"/>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L103"/>
  <sheetViews>
    <sheetView showGridLines="0" topLeftCell="A7" workbookViewId="0">
      <selection activeCell="I5" sqref="I5:I9"/>
    </sheetView>
  </sheetViews>
  <sheetFormatPr defaultRowHeight="11.25" x14ac:dyDescent="0.2"/>
  <cols>
    <col min="1" max="1" width="10" style="38" customWidth="1"/>
    <col min="2" max="2" width="9.7109375" style="47" customWidth="1"/>
    <col min="3" max="3" width="44.42578125" style="48" customWidth="1"/>
    <col min="4" max="4" width="11.42578125" style="49" customWidth="1"/>
    <col min="5" max="5" width="11.42578125" style="50" customWidth="1"/>
    <col min="6" max="6" width="15.28515625" style="51" customWidth="1"/>
    <col min="7" max="7" width="17" style="38" customWidth="1"/>
    <col min="8" max="8" width="13.28515625" style="52" customWidth="1"/>
    <col min="9" max="9" width="9.28515625" style="52" customWidth="1"/>
    <col min="10" max="10" width="10.85546875" style="52" customWidth="1"/>
    <col min="11" max="11" width="10.28515625" style="38" customWidth="1"/>
    <col min="12" max="16384" width="9.140625" style="38"/>
  </cols>
  <sheetData>
    <row r="1" spans="1:12" ht="18.75" customHeight="1" thickBot="1" x14ac:dyDescent="0.25">
      <c r="A1" s="117" t="s">
        <v>42</v>
      </c>
      <c r="B1" s="118"/>
      <c r="C1" s="118"/>
      <c r="D1" s="118"/>
      <c r="E1" s="118"/>
      <c r="F1" s="118"/>
      <c r="G1" s="118"/>
      <c r="H1" s="118"/>
      <c r="I1" s="118"/>
      <c r="J1" s="118"/>
      <c r="K1" s="118"/>
      <c r="L1" s="118"/>
    </row>
    <row r="2" spans="1:12" s="39" customFormat="1" ht="45.75" customHeight="1" x14ac:dyDescent="0.2">
      <c r="A2" s="125" t="s">
        <v>1</v>
      </c>
      <c r="B2" s="123" t="s">
        <v>3</v>
      </c>
      <c r="C2" s="119" t="s">
        <v>2</v>
      </c>
      <c r="D2" s="119" t="s">
        <v>8</v>
      </c>
      <c r="E2" s="121" t="s">
        <v>7</v>
      </c>
      <c r="F2" s="119" t="s">
        <v>4</v>
      </c>
      <c r="G2" s="119" t="s">
        <v>5</v>
      </c>
      <c r="H2" s="119" t="s">
        <v>0</v>
      </c>
      <c r="I2" s="67" t="s">
        <v>33</v>
      </c>
      <c r="J2" s="68" t="s">
        <v>26</v>
      </c>
      <c r="K2" s="68" t="s">
        <v>63</v>
      </c>
      <c r="L2" s="68" t="s">
        <v>64</v>
      </c>
    </row>
    <row r="3" spans="1:12" s="39" customFormat="1" ht="30" customHeight="1" x14ac:dyDescent="0.2">
      <c r="A3" s="126"/>
      <c r="B3" s="124"/>
      <c r="C3" s="120"/>
      <c r="D3" s="120"/>
      <c r="E3" s="122"/>
      <c r="F3" s="120"/>
      <c r="G3" s="120"/>
      <c r="H3" s="120"/>
      <c r="I3" s="57">
        <f>SUM(I5:I66)</f>
        <v>0</v>
      </c>
      <c r="J3" s="57">
        <f t="shared" ref="J3:L3" si="0">SUM(J5:J66)</f>
        <v>0</v>
      </c>
      <c r="K3" s="57">
        <f t="shared" si="0"/>
        <v>0</v>
      </c>
      <c r="L3" s="57">
        <f t="shared" si="0"/>
        <v>0</v>
      </c>
    </row>
    <row r="4" spans="1:12" s="39" customFormat="1" ht="33.75" customHeight="1" thickBot="1" x14ac:dyDescent="0.25">
      <c r="A4" s="127" t="s">
        <v>41</v>
      </c>
      <c r="B4" s="128"/>
      <c r="C4" s="128"/>
      <c r="D4" s="128"/>
      <c r="E4" s="128"/>
      <c r="F4" s="128"/>
      <c r="G4" s="128"/>
      <c r="H4" s="128"/>
      <c r="I4" s="128"/>
      <c r="J4" s="128"/>
      <c r="K4" s="128"/>
      <c r="L4" s="128"/>
    </row>
    <row r="5" spans="1:12" ht="24.75" customHeight="1" thickBot="1" x14ac:dyDescent="0.25">
      <c r="A5" s="114" t="s">
        <v>68</v>
      </c>
      <c r="B5" s="88" t="s">
        <v>27</v>
      </c>
      <c r="C5" s="89" t="s">
        <v>56</v>
      </c>
      <c r="D5" s="90"/>
      <c r="E5" s="90"/>
      <c r="F5" s="91"/>
      <c r="G5" s="90"/>
      <c r="H5" s="92"/>
      <c r="I5" s="93"/>
      <c r="J5" s="94"/>
      <c r="K5" s="94"/>
      <c r="L5" s="95"/>
    </row>
    <row r="6" spans="1:12" ht="24.75" customHeight="1" thickBot="1" x14ac:dyDescent="0.25">
      <c r="A6" s="115"/>
      <c r="B6" s="76" t="s">
        <v>28</v>
      </c>
      <c r="C6" s="73" t="s">
        <v>57</v>
      </c>
      <c r="D6" s="77"/>
      <c r="E6" s="77"/>
      <c r="F6" s="78"/>
      <c r="G6" s="77"/>
      <c r="H6" s="41"/>
      <c r="I6" s="93"/>
      <c r="J6" s="44"/>
      <c r="K6" s="44"/>
      <c r="L6" s="96"/>
    </row>
    <row r="7" spans="1:12" ht="36" customHeight="1" thickBot="1" x14ac:dyDescent="0.25">
      <c r="A7" s="115"/>
      <c r="B7" s="76" t="s">
        <v>29</v>
      </c>
      <c r="C7" s="73" t="s">
        <v>58</v>
      </c>
      <c r="D7" s="77"/>
      <c r="E7" s="77"/>
      <c r="F7" s="78"/>
      <c r="G7" s="77"/>
      <c r="H7" s="41"/>
      <c r="I7" s="93"/>
      <c r="J7" s="44"/>
      <c r="K7" s="44"/>
      <c r="L7" s="96"/>
    </row>
    <row r="8" spans="1:12" ht="36.75" customHeight="1" thickBot="1" x14ac:dyDescent="0.25">
      <c r="A8" s="115"/>
      <c r="B8" s="76" t="s">
        <v>30</v>
      </c>
      <c r="C8" s="73" t="s">
        <v>59</v>
      </c>
      <c r="D8" s="77"/>
      <c r="E8" s="77"/>
      <c r="F8" s="78"/>
      <c r="G8" s="77"/>
      <c r="H8" s="41"/>
      <c r="I8" s="93"/>
      <c r="J8" s="44"/>
      <c r="K8" s="44"/>
      <c r="L8" s="96"/>
    </row>
    <row r="9" spans="1:12" ht="33" customHeight="1" x14ac:dyDescent="0.2">
      <c r="A9" s="115"/>
      <c r="B9" s="76" t="s">
        <v>31</v>
      </c>
      <c r="C9" s="73" t="s">
        <v>60</v>
      </c>
      <c r="D9" s="77"/>
      <c r="E9" s="77"/>
      <c r="F9" s="78"/>
      <c r="G9" s="77"/>
      <c r="H9" s="41"/>
      <c r="I9" s="93"/>
      <c r="J9" s="44"/>
      <c r="K9" s="44"/>
      <c r="L9" s="96"/>
    </row>
    <row r="10" spans="1:12" ht="28.5" customHeight="1" x14ac:dyDescent="0.2">
      <c r="A10" s="115"/>
      <c r="B10" s="76" t="s">
        <v>32</v>
      </c>
      <c r="C10" s="73" t="s">
        <v>61</v>
      </c>
      <c r="D10" s="77"/>
      <c r="E10" s="77"/>
      <c r="F10" s="78"/>
      <c r="G10" s="77"/>
      <c r="H10" s="41"/>
      <c r="I10" s="79"/>
      <c r="J10" s="44"/>
      <c r="K10" s="44"/>
      <c r="L10" s="96"/>
    </row>
    <row r="11" spans="1:12" ht="29.25" customHeight="1" thickBot="1" x14ac:dyDescent="0.25">
      <c r="A11" s="116"/>
      <c r="B11" s="97" t="s">
        <v>53</v>
      </c>
      <c r="C11" s="98" t="s">
        <v>62</v>
      </c>
      <c r="D11" s="99"/>
      <c r="E11" s="99"/>
      <c r="F11" s="100"/>
      <c r="G11" s="99"/>
      <c r="H11" s="60"/>
      <c r="I11" s="101"/>
      <c r="J11" s="61"/>
      <c r="K11" s="61"/>
      <c r="L11" s="102"/>
    </row>
    <row r="12" spans="1:12" ht="29.25" customHeight="1" x14ac:dyDescent="0.2">
      <c r="A12" s="114"/>
      <c r="B12" s="88"/>
      <c r="C12" s="89"/>
      <c r="D12" s="90"/>
      <c r="E12" s="90"/>
      <c r="F12" s="91"/>
      <c r="G12" s="90"/>
      <c r="H12" s="92"/>
      <c r="I12" s="93"/>
      <c r="J12" s="94"/>
      <c r="K12" s="94"/>
      <c r="L12" s="95"/>
    </row>
    <row r="13" spans="1:12" ht="34.5" customHeight="1" x14ac:dyDescent="0.2">
      <c r="A13" s="115"/>
      <c r="B13" s="76"/>
      <c r="C13" s="73"/>
      <c r="D13" s="77"/>
      <c r="E13" s="77"/>
      <c r="F13" s="78"/>
      <c r="G13" s="77"/>
      <c r="H13" s="41"/>
      <c r="I13" s="79"/>
      <c r="J13" s="44"/>
      <c r="K13" s="44"/>
      <c r="L13" s="96"/>
    </row>
    <row r="14" spans="1:12" ht="36.75" customHeight="1" x14ac:dyDescent="0.2">
      <c r="A14" s="115"/>
      <c r="B14" s="76"/>
      <c r="C14" s="73"/>
      <c r="D14" s="77"/>
      <c r="E14" s="77"/>
      <c r="F14" s="78"/>
      <c r="G14" s="77"/>
      <c r="H14" s="41"/>
      <c r="I14" s="79"/>
      <c r="J14" s="44"/>
      <c r="K14" s="44"/>
      <c r="L14" s="96"/>
    </row>
    <row r="15" spans="1:12" ht="34.5" customHeight="1" x14ac:dyDescent="0.2">
      <c r="A15" s="115"/>
      <c r="B15" s="76"/>
      <c r="C15" s="73"/>
      <c r="D15" s="77"/>
      <c r="E15" s="77"/>
      <c r="F15" s="78"/>
      <c r="G15" s="77"/>
      <c r="H15" s="41"/>
      <c r="I15" s="79"/>
      <c r="J15" s="44"/>
      <c r="K15" s="44"/>
      <c r="L15" s="96"/>
    </row>
    <row r="16" spans="1:12" ht="42" customHeight="1" x14ac:dyDescent="0.2">
      <c r="A16" s="115"/>
      <c r="B16" s="76"/>
      <c r="C16" s="73"/>
      <c r="D16" s="77"/>
      <c r="E16" s="77"/>
      <c r="F16" s="78"/>
      <c r="G16" s="77"/>
      <c r="H16" s="41"/>
      <c r="I16" s="79"/>
      <c r="J16" s="44"/>
      <c r="K16" s="44"/>
      <c r="L16" s="96"/>
    </row>
    <row r="17" spans="1:12" ht="39.75" customHeight="1" x14ac:dyDescent="0.2">
      <c r="A17" s="115"/>
      <c r="B17" s="76"/>
      <c r="C17" s="73"/>
      <c r="D17" s="77"/>
      <c r="E17" s="77"/>
      <c r="F17" s="78"/>
      <c r="G17" s="77"/>
      <c r="H17" s="41"/>
      <c r="I17" s="79"/>
      <c r="J17" s="44"/>
      <c r="K17" s="44"/>
      <c r="L17" s="96"/>
    </row>
    <row r="18" spans="1:12" ht="26.25" customHeight="1" x14ac:dyDescent="0.2">
      <c r="A18" s="115"/>
      <c r="B18" s="76"/>
      <c r="C18" s="45"/>
      <c r="D18" s="77"/>
      <c r="E18" s="77"/>
      <c r="F18" s="78"/>
      <c r="G18" s="77"/>
      <c r="H18" s="41"/>
      <c r="I18" s="79"/>
      <c r="J18" s="44"/>
      <c r="K18" s="44"/>
      <c r="L18" s="96"/>
    </row>
    <row r="19" spans="1:12" ht="23.25" customHeight="1" thickBot="1" x14ac:dyDescent="0.25">
      <c r="A19" s="116"/>
      <c r="B19" s="97"/>
      <c r="C19" s="59"/>
      <c r="D19" s="99"/>
      <c r="E19" s="99"/>
      <c r="F19" s="100"/>
      <c r="G19" s="99"/>
      <c r="H19" s="60"/>
      <c r="I19" s="101"/>
      <c r="J19" s="61"/>
      <c r="K19" s="61"/>
      <c r="L19" s="102"/>
    </row>
    <row r="20" spans="1:12" ht="24" customHeight="1" x14ac:dyDescent="0.2">
      <c r="A20" s="114"/>
      <c r="B20" s="88"/>
      <c r="C20" s="103"/>
      <c r="D20" s="90"/>
      <c r="E20" s="90"/>
      <c r="F20" s="91"/>
      <c r="G20" s="90"/>
      <c r="H20" s="92"/>
      <c r="I20" s="93"/>
      <c r="J20" s="94"/>
      <c r="K20" s="94"/>
      <c r="L20" s="95"/>
    </row>
    <row r="21" spans="1:12" ht="24" customHeight="1" x14ac:dyDescent="0.2">
      <c r="A21" s="115"/>
      <c r="B21" s="76"/>
      <c r="C21" s="45"/>
      <c r="D21" s="77"/>
      <c r="E21" s="77"/>
      <c r="F21" s="78"/>
      <c r="G21" s="77"/>
      <c r="H21" s="41"/>
      <c r="I21" s="79"/>
      <c r="J21" s="44"/>
      <c r="K21" s="44"/>
      <c r="L21" s="96"/>
    </row>
    <row r="22" spans="1:12" ht="24" customHeight="1" x14ac:dyDescent="0.2">
      <c r="A22" s="115"/>
      <c r="B22" s="76"/>
      <c r="C22" s="45"/>
      <c r="D22" s="77"/>
      <c r="E22" s="77"/>
      <c r="F22" s="78"/>
      <c r="G22" s="77"/>
      <c r="H22" s="41"/>
      <c r="I22" s="79"/>
      <c r="J22" s="44"/>
      <c r="K22" s="44"/>
      <c r="L22" s="96"/>
    </row>
    <row r="23" spans="1:12" ht="24" customHeight="1" x14ac:dyDescent="0.2">
      <c r="A23" s="115"/>
      <c r="B23" s="76"/>
      <c r="C23" s="45"/>
      <c r="D23" s="77"/>
      <c r="E23" s="77"/>
      <c r="F23" s="78"/>
      <c r="G23" s="77"/>
      <c r="H23" s="41"/>
      <c r="I23" s="79"/>
      <c r="J23" s="44"/>
      <c r="K23" s="44"/>
      <c r="L23" s="96"/>
    </row>
    <row r="24" spans="1:12" ht="24" customHeight="1" x14ac:dyDescent="0.2">
      <c r="A24" s="115"/>
      <c r="B24" s="76"/>
      <c r="C24" s="45"/>
      <c r="D24" s="77"/>
      <c r="E24" s="77"/>
      <c r="F24" s="78"/>
      <c r="G24" s="77"/>
      <c r="H24" s="41"/>
      <c r="I24" s="79"/>
      <c r="J24" s="44"/>
      <c r="K24" s="44"/>
      <c r="L24" s="96"/>
    </row>
    <row r="25" spans="1:12" ht="24" customHeight="1" x14ac:dyDescent="0.2">
      <c r="A25" s="115"/>
      <c r="B25" s="76"/>
      <c r="C25" s="45"/>
      <c r="D25" s="77"/>
      <c r="E25" s="77"/>
      <c r="F25" s="78"/>
      <c r="G25" s="77"/>
      <c r="H25" s="41"/>
      <c r="I25" s="79"/>
      <c r="J25" s="44"/>
      <c r="K25" s="44"/>
      <c r="L25" s="96"/>
    </row>
    <row r="26" spans="1:12" ht="29.25" customHeight="1" x14ac:dyDescent="0.2">
      <c r="A26" s="115"/>
      <c r="B26" s="76"/>
      <c r="C26" s="45"/>
      <c r="D26" s="77"/>
      <c r="E26" s="77"/>
      <c r="F26" s="78"/>
      <c r="G26" s="77"/>
      <c r="H26" s="41"/>
      <c r="I26" s="79"/>
      <c r="J26" s="44"/>
      <c r="K26" s="44"/>
      <c r="L26" s="96"/>
    </row>
    <row r="27" spans="1:12" ht="20.25" customHeight="1" thickBot="1" x14ac:dyDescent="0.25">
      <c r="A27" s="116"/>
      <c r="B27" s="97"/>
      <c r="C27" s="59"/>
      <c r="D27" s="99"/>
      <c r="E27" s="99"/>
      <c r="F27" s="100"/>
      <c r="G27" s="99"/>
      <c r="H27" s="60"/>
      <c r="I27" s="101"/>
      <c r="J27" s="61"/>
      <c r="K27" s="61"/>
      <c r="L27" s="102"/>
    </row>
    <row r="28" spans="1:12" ht="41.25" customHeight="1" x14ac:dyDescent="0.2">
      <c r="A28" s="114"/>
      <c r="B28" s="88"/>
      <c r="C28" s="103"/>
      <c r="D28" s="90"/>
      <c r="E28" s="90"/>
      <c r="F28" s="91"/>
      <c r="G28" s="90"/>
      <c r="H28" s="92"/>
      <c r="I28" s="93"/>
      <c r="J28" s="94"/>
      <c r="K28" s="94"/>
      <c r="L28" s="95"/>
    </row>
    <row r="29" spans="1:12" ht="36.75" customHeight="1" x14ac:dyDescent="0.2">
      <c r="A29" s="115"/>
      <c r="B29" s="76"/>
      <c r="C29" s="45"/>
      <c r="D29" s="77"/>
      <c r="E29" s="77"/>
      <c r="F29" s="78"/>
      <c r="G29" s="77"/>
      <c r="H29" s="41"/>
      <c r="I29" s="79"/>
      <c r="J29" s="44"/>
      <c r="K29" s="44"/>
      <c r="L29" s="96"/>
    </row>
    <row r="30" spans="1:12" ht="48.75" customHeight="1" x14ac:dyDescent="0.2">
      <c r="A30" s="115"/>
      <c r="B30" s="76"/>
      <c r="C30" s="45"/>
      <c r="D30" s="77"/>
      <c r="E30" s="77"/>
      <c r="F30" s="56"/>
      <c r="G30" s="77"/>
      <c r="H30" s="41"/>
      <c r="I30" s="79"/>
      <c r="J30" s="44"/>
      <c r="K30" s="44"/>
      <c r="L30" s="96"/>
    </row>
    <row r="31" spans="1:12" ht="41.25" customHeight="1" x14ac:dyDescent="0.2">
      <c r="A31" s="115"/>
      <c r="B31" s="76"/>
      <c r="C31" s="45"/>
      <c r="D31" s="77"/>
      <c r="E31" s="77"/>
      <c r="F31" s="56"/>
      <c r="G31" s="77"/>
      <c r="H31" s="41"/>
      <c r="I31" s="79"/>
      <c r="J31" s="44"/>
      <c r="K31" s="44"/>
      <c r="L31" s="96"/>
    </row>
    <row r="32" spans="1:12" ht="21" customHeight="1" x14ac:dyDescent="0.2">
      <c r="A32" s="115"/>
      <c r="B32" s="76"/>
      <c r="C32" s="45"/>
      <c r="D32" s="77"/>
      <c r="E32" s="77"/>
      <c r="F32" s="56"/>
      <c r="G32" s="77"/>
      <c r="H32" s="41"/>
      <c r="I32" s="79"/>
      <c r="J32" s="44"/>
      <c r="K32" s="44"/>
      <c r="L32" s="96"/>
    </row>
    <row r="33" spans="1:12" ht="21.75" customHeight="1" x14ac:dyDescent="0.2">
      <c r="A33" s="115"/>
      <c r="B33" s="76"/>
      <c r="C33" s="45"/>
      <c r="D33" s="77"/>
      <c r="E33" s="77"/>
      <c r="F33" s="56"/>
      <c r="G33" s="77"/>
      <c r="H33" s="41"/>
      <c r="I33" s="79"/>
      <c r="J33" s="44"/>
      <c r="K33" s="44"/>
      <c r="L33" s="96"/>
    </row>
    <row r="34" spans="1:12" ht="21.75" customHeight="1" x14ac:dyDescent="0.2">
      <c r="A34" s="115"/>
      <c r="B34" s="76"/>
      <c r="C34" s="45"/>
      <c r="D34" s="77"/>
      <c r="E34" s="77"/>
      <c r="F34" s="56"/>
      <c r="G34" s="77"/>
      <c r="H34" s="41"/>
      <c r="I34" s="79"/>
      <c r="J34" s="44"/>
      <c r="K34" s="44"/>
      <c r="L34" s="96"/>
    </row>
    <row r="35" spans="1:12" ht="21.75" customHeight="1" thickBot="1" x14ac:dyDescent="0.25">
      <c r="A35" s="116"/>
      <c r="B35" s="97"/>
      <c r="C35" s="59"/>
      <c r="D35" s="99"/>
      <c r="E35" s="99"/>
      <c r="F35" s="63"/>
      <c r="G35" s="99"/>
      <c r="H35" s="60"/>
      <c r="I35" s="101"/>
      <c r="J35" s="61"/>
      <c r="K35" s="61"/>
      <c r="L35" s="102"/>
    </row>
    <row r="36" spans="1:12" ht="21.75" customHeight="1" x14ac:dyDescent="0.2">
      <c r="A36" s="75"/>
      <c r="B36" s="86"/>
      <c r="C36" s="40"/>
      <c r="D36" s="87"/>
      <c r="E36" s="87"/>
      <c r="F36" s="62"/>
      <c r="G36" s="87"/>
      <c r="H36" s="58"/>
      <c r="I36" s="42"/>
      <c r="J36" s="43"/>
      <c r="K36" s="43"/>
      <c r="L36" s="43"/>
    </row>
    <row r="37" spans="1:12" ht="21.75" customHeight="1" x14ac:dyDescent="0.2">
      <c r="A37" s="80"/>
      <c r="B37" s="76"/>
      <c r="C37" s="45"/>
      <c r="D37" s="77"/>
      <c r="E37" s="77"/>
      <c r="F37" s="78"/>
      <c r="G37" s="77"/>
      <c r="H37" s="41"/>
      <c r="I37" s="79"/>
      <c r="J37" s="44"/>
      <c r="K37" s="44"/>
      <c r="L37" s="44"/>
    </row>
    <row r="38" spans="1:12" ht="21" customHeight="1" x14ac:dyDescent="0.2">
      <c r="A38" s="80"/>
      <c r="B38" s="76"/>
      <c r="C38" s="45"/>
      <c r="D38" s="77"/>
      <c r="E38" s="77"/>
      <c r="F38" s="78"/>
      <c r="G38" s="77"/>
      <c r="H38" s="41"/>
      <c r="I38" s="79"/>
      <c r="J38" s="44"/>
      <c r="K38" s="44"/>
      <c r="L38" s="44"/>
    </row>
    <row r="39" spans="1:12" ht="19.5" customHeight="1" x14ac:dyDescent="0.2">
      <c r="A39" s="80"/>
      <c r="B39" s="76"/>
      <c r="C39" s="45"/>
      <c r="D39" s="77"/>
      <c r="E39" s="77"/>
      <c r="F39" s="78"/>
      <c r="G39" s="77"/>
      <c r="H39" s="41"/>
      <c r="I39" s="79"/>
      <c r="J39" s="44"/>
      <c r="K39" s="44"/>
      <c r="L39" s="44"/>
    </row>
    <row r="40" spans="1:12" ht="17.25" customHeight="1" x14ac:dyDescent="0.2">
      <c r="A40" s="80"/>
      <c r="B40" s="76"/>
      <c r="C40" s="45"/>
      <c r="D40" s="77"/>
      <c r="E40" s="77"/>
      <c r="F40" s="78"/>
      <c r="G40" s="77"/>
      <c r="H40" s="41"/>
      <c r="I40" s="79"/>
      <c r="J40" s="44"/>
      <c r="K40" s="44"/>
      <c r="L40" s="44"/>
    </row>
    <row r="41" spans="1:12" ht="17.25" customHeight="1" x14ac:dyDescent="0.2">
      <c r="A41" s="80"/>
      <c r="B41" s="76"/>
      <c r="C41" s="45"/>
      <c r="D41" s="77"/>
      <c r="E41" s="77"/>
      <c r="F41" s="78"/>
      <c r="G41" s="77"/>
      <c r="H41" s="41"/>
      <c r="I41" s="79"/>
      <c r="J41" s="44"/>
      <c r="K41" s="44"/>
      <c r="L41" s="44"/>
    </row>
    <row r="42" spans="1:12" ht="17.25" customHeight="1" x14ac:dyDescent="0.2">
      <c r="A42" s="80"/>
      <c r="B42" s="76"/>
      <c r="C42" s="45"/>
      <c r="D42" s="77"/>
      <c r="E42" s="77"/>
      <c r="F42" s="78"/>
      <c r="G42" s="77"/>
      <c r="H42" s="41"/>
      <c r="I42" s="79"/>
      <c r="J42" s="44"/>
      <c r="K42" s="44"/>
      <c r="L42" s="44"/>
    </row>
    <row r="43" spans="1:12" ht="17.25" customHeight="1" x14ac:dyDescent="0.2">
      <c r="A43" s="80"/>
      <c r="B43" s="76"/>
      <c r="C43" s="45"/>
      <c r="D43" s="77"/>
      <c r="E43" s="77"/>
      <c r="F43" s="78"/>
      <c r="G43" s="77"/>
      <c r="H43" s="41"/>
      <c r="I43" s="79"/>
      <c r="J43" s="44"/>
      <c r="K43" s="44"/>
      <c r="L43" s="44"/>
    </row>
    <row r="44" spans="1:12" ht="17.25" customHeight="1" x14ac:dyDescent="0.2">
      <c r="A44" s="80"/>
      <c r="B44" s="76"/>
      <c r="C44" s="45"/>
      <c r="D44" s="77"/>
      <c r="E44" s="77"/>
      <c r="F44" s="78"/>
      <c r="G44" s="77"/>
      <c r="H44" s="41"/>
      <c r="I44" s="79"/>
      <c r="J44" s="44"/>
      <c r="K44" s="44"/>
      <c r="L44" s="44"/>
    </row>
    <row r="45" spans="1:12" ht="25.5" customHeight="1" x14ac:dyDescent="0.2">
      <c r="A45" s="80"/>
      <c r="B45" s="76"/>
      <c r="C45" s="45"/>
      <c r="D45" s="77"/>
      <c r="E45" s="77"/>
      <c r="F45" s="78"/>
      <c r="G45" s="77"/>
      <c r="H45" s="41"/>
      <c r="I45" s="79"/>
      <c r="J45" s="44"/>
      <c r="K45" s="44"/>
      <c r="L45" s="44"/>
    </row>
    <row r="46" spans="1:12" ht="18.75" customHeight="1" x14ac:dyDescent="0.2">
      <c r="A46" s="80"/>
      <c r="B46" s="76"/>
      <c r="C46" s="45"/>
      <c r="D46" s="77"/>
      <c r="E46" s="77"/>
      <c r="F46" s="78"/>
      <c r="G46" s="77"/>
      <c r="H46" s="41"/>
      <c r="I46" s="79"/>
      <c r="J46" s="44"/>
      <c r="K46" s="44"/>
      <c r="L46" s="44"/>
    </row>
    <row r="47" spans="1:12" ht="19.5" customHeight="1" x14ac:dyDescent="0.2">
      <c r="A47" s="80"/>
      <c r="B47" s="76"/>
      <c r="C47" s="45"/>
      <c r="D47" s="77"/>
      <c r="E47" s="77"/>
      <c r="F47" s="78"/>
      <c r="G47" s="77"/>
      <c r="H47" s="41"/>
      <c r="I47" s="79"/>
      <c r="J47" s="44"/>
      <c r="K47" s="44"/>
      <c r="L47" s="44"/>
    </row>
    <row r="48" spans="1:12" ht="19.5" customHeight="1" x14ac:dyDescent="0.2">
      <c r="A48" s="80"/>
      <c r="B48" s="76"/>
      <c r="C48" s="45"/>
      <c r="D48" s="77"/>
      <c r="E48" s="77"/>
      <c r="F48" s="78"/>
      <c r="G48" s="77"/>
      <c r="H48" s="41"/>
      <c r="I48" s="79"/>
      <c r="J48" s="44"/>
      <c r="K48" s="44"/>
      <c r="L48" s="44"/>
    </row>
    <row r="49" spans="1:12" ht="19.5" customHeight="1" x14ac:dyDescent="0.2">
      <c r="A49" s="80"/>
      <c r="B49" s="76"/>
      <c r="C49" s="45"/>
      <c r="D49" s="77"/>
      <c r="E49" s="77"/>
      <c r="F49" s="78"/>
      <c r="G49" s="77"/>
      <c r="H49" s="41"/>
      <c r="I49" s="79"/>
      <c r="J49" s="44"/>
      <c r="K49" s="44"/>
      <c r="L49" s="44"/>
    </row>
    <row r="50" spans="1:12" ht="19.5" customHeight="1" x14ac:dyDescent="0.2">
      <c r="A50" s="80"/>
      <c r="B50" s="76"/>
      <c r="C50" s="45"/>
      <c r="D50" s="77"/>
      <c r="E50" s="77"/>
      <c r="F50" s="78"/>
      <c r="G50" s="77"/>
      <c r="H50" s="41"/>
      <c r="I50" s="79"/>
      <c r="J50" s="44"/>
      <c r="K50" s="44"/>
      <c r="L50" s="44"/>
    </row>
    <row r="51" spans="1:12" ht="19.5" customHeight="1" x14ac:dyDescent="0.2">
      <c r="A51" s="80"/>
      <c r="B51" s="76"/>
      <c r="C51" s="45"/>
      <c r="D51" s="77"/>
      <c r="E51" s="77"/>
      <c r="F51" s="78"/>
      <c r="G51" s="77"/>
      <c r="H51" s="41"/>
      <c r="I51" s="79"/>
      <c r="J51" s="44"/>
      <c r="K51" s="44"/>
      <c r="L51" s="44"/>
    </row>
    <row r="52" spans="1:12" ht="20.25" customHeight="1" x14ac:dyDescent="0.2">
      <c r="A52" s="80"/>
      <c r="B52" s="76"/>
      <c r="C52" s="45"/>
      <c r="D52" s="77"/>
      <c r="E52" s="77"/>
      <c r="F52" s="78"/>
      <c r="G52" s="77"/>
      <c r="H52" s="41"/>
      <c r="I52" s="79"/>
      <c r="J52" s="44"/>
      <c r="K52" s="44"/>
      <c r="L52" s="44"/>
    </row>
    <row r="53" spans="1:12" ht="18" customHeight="1" x14ac:dyDescent="0.2">
      <c r="A53" s="80"/>
      <c r="B53" s="76"/>
      <c r="C53" s="45"/>
      <c r="D53" s="77"/>
      <c r="E53" s="77"/>
      <c r="F53" s="78"/>
      <c r="G53" s="77"/>
      <c r="H53" s="41"/>
      <c r="I53" s="79"/>
      <c r="J53" s="44"/>
      <c r="K53" s="44"/>
      <c r="L53" s="44"/>
    </row>
    <row r="54" spans="1:12" ht="17.25" customHeight="1" x14ac:dyDescent="0.2">
      <c r="A54" s="80"/>
      <c r="B54" s="76"/>
      <c r="C54" s="45"/>
      <c r="D54" s="77"/>
      <c r="E54" s="77"/>
      <c r="F54" s="78"/>
      <c r="G54" s="77"/>
      <c r="H54" s="41"/>
      <c r="I54" s="79"/>
      <c r="J54" s="44"/>
      <c r="K54" s="44"/>
      <c r="L54" s="44"/>
    </row>
    <row r="55" spans="1:12" ht="17.25" customHeight="1" x14ac:dyDescent="0.2">
      <c r="A55" s="80"/>
      <c r="B55" s="76"/>
      <c r="C55" s="45"/>
      <c r="D55" s="77"/>
      <c r="E55" s="77"/>
      <c r="F55" s="78"/>
      <c r="G55" s="77"/>
      <c r="H55" s="41"/>
      <c r="I55" s="79"/>
      <c r="J55" s="44"/>
      <c r="K55" s="44"/>
      <c r="L55" s="44"/>
    </row>
    <row r="56" spans="1:12" ht="17.25" customHeight="1" x14ac:dyDescent="0.2">
      <c r="A56" s="80"/>
      <c r="B56" s="76"/>
      <c r="C56" s="45"/>
      <c r="D56" s="77"/>
      <c r="E56" s="77"/>
      <c r="F56" s="78"/>
      <c r="G56" s="77"/>
      <c r="H56" s="41"/>
      <c r="I56" s="79"/>
      <c r="J56" s="44"/>
      <c r="K56" s="44"/>
      <c r="L56" s="44"/>
    </row>
    <row r="57" spans="1:12" ht="17.25" customHeight="1" x14ac:dyDescent="0.2">
      <c r="A57" s="80"/>
      <c r="B57" s="76"/>
      <c r="C57" s="45"/>
      <c r="D57" s="77"/>
      <c r="E57" s="77"/>
      <c r="F57" s="78"/>
      <c r="G57" s="77"/>
      <c r="H57" s="41"/>
      <c r="I57" s="79"/>
      <c r="J57" s="44"/>
      <c r="K57" s="44"/>
      <c r="L57" s="44"/>
    </row>
    <row r="58" spans="1:12" ht="17.25" customHeight="1" x14ac:dyDescent="0.2">
      <c r="A58" s="80"/>
      <c r="B58" s="76"/>
      <c r="C58" s="45"/>
      <c r="D58" s="77"/>
      <c r="E58" s="77"/>
      <c r="F58" s="78"/>
      <c r="G58" s="77"/>
      <c r="H58" s="41"/>
      <c r="I58" s="79"/>
      <c r="J58" s="44"/>
      <c r="K58" s="44"/>
      <c r="L58" s="44"/>
    </row>
    <row r="59" spans="1:12" ht="18.75" customHeight="1" x14ac:dyDescent="0.2">
      <c r="A59" s="80"/>
      <c r="B59" s="76"/>
      <c r="C59" s="45"/>
      <c r="D59" s="77"/>
      <c r="E59" s="77"/>
      <c r="F59" s="78"/>
      <c r="G59" s="77"/>
      <c r="H59" s="41"/>
      <c r="I59" s="79"/>
      <c r="J59" s="44"/>
      <c r="K59" s="44"/>
      <c r="L59" s="44"/>
    </row>
    <row r="60" spans="1:12" ht="18.75" customHeight="1" x14ac:dyDescent="0.2">
      <c r="A60" s="80"/>
      <c r="B60" s="76"/>
      <c r="C60" s="45"/>
      <c r="D60" s="77"/>
      <c r="E60" s="77"/>
      <c r="F60" s="78"/>
      <c r="G60" s="77"/>
      <c r="H60" s="41"/>
      <c r="I60" s="79"/>
      <c r="J60" s="44"/>
      <c r="K60" s="44"/>
      <c r="L60" s="44"/>
    </row>
    <row r="61" spans="1:12" ht="18.75" customHeight="1" x14ac:dyDescent="0.2">
      <c r="A61" s="80"/>
      <c r="B61" s="76"/>
      <c r="C61" s="45"/>
      <c r="D61" s="77"/>
      <c r="E61" s="77"/>
      <c r="F61" s="78"/>
      <c r="G61" s="77"/>
      <c r="H61" s="41"/>
      <c r="I61" s="79"/>
      <c r="J61" s="44"/>
      <c r="K61" s="44"/>
      <c r="L61" s="44"/>
    </row>
    <row r="62" spans="1:12" ht="18.75" customHeight="1" x14ac:dyDescent="0.2">
      <c r="A62" s="80"/>
      <c r="B62" s="76"/>
      <c r="C62" s="45"/>
      <c r="D62" s="77"/>
      <c r="E62" s="77"/>
      <c r="F62" s="78"/>
      <c r="G62" s="77"/>
      <c r="H62" s="41"/>
      <c r="I62" s="79"/>
      <c r="J62" s="44"/>
      <c r="K62" s="44"/>
      <c r="L62" s="44"/>
    </row>
    <row r="63" spans="1:12" ht="18.75" customHeight="1" x14ac:dyDescent="0.2">
      <c r="A63" s="80"/>
      <c r="B63" s="76"/>
      <c r="C63" s="45"/>
      <c r="D63" s="77"/>
      <c r="E63" s="77"/>
      <c r="F63" s="78"/>
      <c r="G63" s="77"/>
      <c r="H63" s="41"/>
      <c r="I63" s="79"/>
      <c r="J63" s="44"/>
      <c r="K63" s="44"/>
      <c r="L63" s="44"/>
    </row>
    <row r="64" spans="1:12" ht="18" customHeight="1" x14ac:dyDescent="0.2">
      <c r="A64" s="80"/>
      <c r="B64" s="76"/>
      <c r="C64" s="45"/>
      <c r="D64" s="77"/>
      <c r="E64" s="77"/>
      <c r="F64" s="78"/>
      <c r="G64" s="77"/>
      <c r="H64" s="41"/>
      <c r="I64" s="79"/>
      <c r="J64" s="44"/>
      <c r="K64" s="44"/>
      <c r="L64" s="44"/>
    </row>
    <row r="65" spans="1:12" ht="18" customHeight="1" x14ac:dyDescent="0.2">
      <c r="A65" s="80"/>
      <c r="B65" s="76"/>
      <c r="C65" s="45"/>
      <c r="D65" s="77"/>
      <c r="E65" s="77"/>
      <c r="F65" s="77"/>
      <c r="G65" s="77"/>
      <c r="H65" s="77"/>
      <c r="I65" s="44"/>
      <c r="J65" s="44"/>
      <c r="K65" s="44"/>
      <c r="L65" s="81"/>
    </row>
    <row r="66" spans="1:12" ht="24" customHeight="1" x14ac:dyDescent="0.2">
      <c r="A66" s="80"/>
      <c r="B66" s="82"/>
      <c r="C66" s="83"/>
      <c r="D66" s="53"/>
      <c r="E66" s="84"/>
      <c r="F66" s="85"/>
      <c r="G66" s="81"/>
      <c r="H66" s="81"/>
      <c r="I66" s="81"/>
      <c r="J66" s="81"/>
      <c r="K66" s="81"/>
      <c r="L66" s="81"/>
    </row>
    <row r="67" spans="1:12" ht="24" customHeight="1" x14ac:dyDescent="0.2">
      <c r="A67" s="46"/>
    </row>
    <row r="69" spans="1:12" ht="53.25" customHeight="1" x14ac:dyDescent="0.2"/>
    <row r="70" spans="1:12" ht="42" customHeight="1" x14ac:dyDescent="0.2"/>
    <row r="71" spans="1:12" ht="42" customHeight="1" x14ac:dyDescent="0.2"/>
    <row r="72" spans="1:12" ht="21.75" customHeight="1" x14ac:dyDescent="0.2"/>
    <row r="73" spans="1:12" ht="18.75" customHeight="1" x14ac:dyDescent="0.2"/>
    <row r="74" spans="1:12" ht="21.75" customHeight="1" x14ac:dyDescent="0.2"/>
    <row r="75" spans="1:12" ht="18.75" customHeight="1" x14ac:dyDescent="0.2"/>
    <row r="76" spans="1:12" ht="18" customHeight="1" x14ac:dyDescent="0.2"/>
    <row r="77" spans="1:12" ht="21" customHeight="1" x14ac:dyDescent="0.2"/>
    <row r="78" spans="1:12" ht="16.5" customHeight="1" x14ac:dyDescent="0.2"/>
    <row r="79" spans="1:12" ht="19.5" customHeight="1" x14ac:dyDescent="0.2"/>
    <row r="80" spans="1:12" ht="19.5" customHeight="1" x14ac:dyDescent="0.2"/>
    <row r="81" ht="18.75" customHeight="1" x14ac:dyDescent="0.2"/>
    <row r="82" ht="11.25" customHeight="1" x14ac:dyDescent="0.2"/>
    <row r="83" ht="11.25" customHeight="1" x14ac:dyDescent="0.2"/>
    <row r="100" ht="17.25" customHeight="1" x14ac:dyDescent="0.2"/>
    <row r="101" ht="21" customHeight="1" x14ac:dyDescent="0.2"/>
    <row r="102" ht="21" customHeight="1" x14ac:dyDescent="0.2"/>
    <row r="103" ht="22.5" customHeight="1" x14ac:dyDescent="0.2"/>
  </sheetData>
  <mergeCells count="14">
    <mergeCell ref="A20:A27"/>
    <mergeCell ref="A28:A35"/>
    <mergeCell ref="A1:L1"/>
    <mergeCell ref="H2:H3"/>
    <mergeCell ref="A12:A19"/>
    <mergeCell ref="A5:A11"/>
    <mergeCell ref="G2:G3"/>
    <mergeCell ref="F2:F3"/>
    <mergeCell ref="E2:E3"/>
    <mergeCell ref="D2:D3"/>
    <mergeCell ref="C2:C3"/>
    <mergeCell ref="B2:B3"/>
    <mergeCell ref="A2:A3"/>
    <mergeCell ref="A4:L4"/>
  </mergeCells>
  <phoneticPr fontId="19" type="noConversion"/>
  <dataValidations count="8">
    <dataValidation type="list" allowBlank="1" showInputMessage="1" showErrorMessage="1" sqref="H102:H65532 H65" xr:uid="{00000000-0002-0000-0200-000003000000}">
      <formula1>Status</formula1>
    </dataValidation>
    <dataValidation type="list" allowBlank="1" showInputMessage="1" showErrorMessage="1" sqref="G102:G65532" xr:uid="{00000000-0002-0000-0200-000004000000}">
      <formula1>Category</formula1>
    </dataValidation>
    <dataValidation type="list" allowBlank="1" showInputMessage="1" showErrorMessage="1" sqref="F102:F65532" xr:uid="{00000000-0002-0000-0200-000005000000}">
      <formula1>Team</formula1>
    </dataValidation>
    <dataValidation type="list" allowBlank="1" showInputMessage="1" showErrorMessage="1" sqref="G18:G65" xr:uid="{00000000-0002-0000-0200-000008000000}">
      <formula1>"Build, Unit Test, System Test, Coding, General , Integration"</formula1>
    </dataValidation>
    <dataValidation type="decimal" operator="lessThanOrEqual" allowBlank="1" showInputMessage="1" showErrorMessage="1" sqref="L5:L64 J5:K65" xr:uid="{00000000-0002-0000-0200-000002000000}">
      <formula1>I5</formula1>
    </dataValidation>
    <dataValidation type="list" allowBlank="1" showInputMessage="1" showErrorMessage="1" sqref="G5:G17" xr:uid="{00000000-0002-0000-0200-000001000000}">
      <formula1>"Build, Unit Test, System Test, Coding, General , Integration,Regression Testing"</formula1>
    </dataValidation>
    <dataValidation type="decimal" allowBlank="1" showInputMessage="1" showErrorMessage="1" sqref="I5:I64" xr:uid="{00000000-0002-0000-0200-000006000000}">
      <formula1>0</formula1>
      <formula2>12</formula2>
    </dataValidation>
    <dataValidation type="list" allowBlank="1" showInputMessage="1" showErrorMessage="1" sqref="H5:H64" xr:uid="{00000000-0002-0000-0200-000007000000}">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O104"/>
  <sheetViews>
    <sheetView showGridLines="0" topLeftCell="A22" zoomScaleNormal="100" workbookViewId="0">
      <selection activeCell="D9" sqref="D9"/>
    </sheetView>
  </sheetViews>
  <sheetFormatPr defaultRowHeight="11.25" x14ac:dyDescent="0.2"/>
  <cols>
    <col min="1" max="1" width="10" style="38" customWidth="1"/>
    <col min="2" max="2" width="9.7109375" style="47" customWidth="1"/>
    <col min="3" max="3" width="41.28515625" style="48" customWidth="1"/>
    <col min="4" max="4" width="11.42578125" style="49" customWidth="1"/>
    <col min="5" max="5" width="11.42578125" style="50" customWidth="1"/>
    <col min="6" max="6" width="15.42578125" style="51" customWidth="1"/>
    <col min="7" max="7" width="17" style="38" customWidth="1"/>
    <col min="8" max="8" width="13.28515625" style="52" customWidth="1"/>
    <col min="9" max="9" width="9.28515625" style="52" customWidth="1"/>
    <col min="10" max="10" width="10.85546875" style="52" customWidth="1"/>
    <col min="11" max="11" width="10.28515625" style="38" customWidth="1"/>
    <col min="12" max="16384" width="9.140625" style="38"/>
  </cols>
  <sheetData>
    <row r="1" spans="1:15" ht="18.75" customHeight="1" thickBot="1" x14ac:dyDescent="0.25">
      <c r="A1" s="129"/>
      <c r="B1" s="130"/>
      <c r="C1" s="130"/>
      <c r="D1" s="130"/>
      <c r="E1" s="130"/>
      <c r="F1" s="130"/>
      <c r="G1" s="130"/>
      <c r="H1" s="130"/>
      <c r="I1" s="130"/>
      <c r="J1" s="130"/>
      <c r="K1" s="130"/>
      <c r="L1" s="130"/>
    </row>
    <row r="2" spans="1:15" s="39" customFormat="1" ht="46.5" customHeight="1" x14ac:dyDescent="0.2">
      <c r="A2" s="125" t="s">
        <v>1</v>
      </c>
      <c r="B2" s="132" t="s">
        <v>3</v>
      </c>
      <c r="C2" s="119" t="s">
        <v>2</v>
      </c>
      <c r="D2" s="119" t="s">
        <v>8</v>
      </c>
      <c r="E2" s="121" t="s">
        <v>7</v>
      </c>
      <c r="F2" s="119" t="s">
        <v>4</v>
      </c>
      <c r="G2" s="119" t="s">
        <v>5</v>
      </c>
      <c r="H2" s="119" t="s">
        <v>0</v>
      </c>
      <c r="I2" s="67" t="s">
        <v>33</v>
      </c>
      <c r="J2" s="68" t="s">
        <v>65</v>
      </c>
      <c r="K2" s="68" t="s">
        <v>66</v>
      </c>
      <c r="L2" s="68" t="s">
        <v>67</v>
      </c>
    </row>
    <row r="3" spans="1:15" s="39" customFormat="1" ht="30" customHeight="1" x14ac:dyDescent="0.2">
      <c r="A3" s="131"/>
      <c r="B3" s="133"/>
      <c r="C3" s="134"/>
      <c r="D3" s="134"/>
      <c r="E3" s="135"/>
      <c r="F3" s="134"/>
      <c r="G3" s="134"/>
      <c r="H3" s="134"/>
      <c r="I3" s="57">
        <f>SUM(I5:I799)</f>
        <v>0</v>
      </c>
      <c r="J3" s="57">
        <f>SUM(J5:J799)</f>
        <v>0</v>
      </c>
      <c r="K3" s="57">
        <f>SUM(K5:K799)</f>
        <v>0</v>
      </c>
      <c r="L3" s="57">
        <f>SUM(L5:L799)</f>
        <v>0</v>
      </c>
      <c r="M3"/>
    </row>
    <row r="4" spans="1:15" s="39" customFormat="1" ht="33.75" customHeight="1" thickBot="1" x14ac:dyDescent="0.25">
      <c r="A4" s="136" t="s">
        <v>54</v>
      </c>
      <c r="B4" s="137"/>
      <c r="C4" s="137"/>
      <c r="D4" s="137"/>
      <c r="E4" s="137"/>
      <c r="F4" s="137"/>
      <c r="G4" s="137"/>
      <c r="H4" s="137"/>
      <c r="I4" s="137"/>
      <c r="J4" s="137"/>
      <c r="K4" s="137"/>
      <c r="L4" s="138"/>
      <c r="M4"/>
    </row>
    <row r="5" spans="1:15" ht="24.75" customHeight="1" x14ac:dyDescent="0.2">
      <c r="A5" s="114" t="s">
        <v>68</v>
      </c>
      <c r="B5" s="88" t="s">
        <v>27</v>
      </c>
      <c r="C5" s="89" t="s">
        <v>56</v>
      </c>
      <c r="D5" s="90"/>
      <c r="E5" s="90"/>
      <c r="F5" s="91"/>
      <c r="G5" s="90"/>
      <c r="H5" s="92"/>
      <c r="I5" s="93"/>
      <c r="J5" s="94"/>
      <c r="K5" s="94"/>
      <c r="L5" s="95"/>
      <c r="M5"/>
    </row>
    <row r="6" spans="1:15" ht="36" customHeight="1" x14ac:dyDescent="0.2">
      <c r="A6" s="115"/>
      <c r="B6" s="76" t="s">
        <v>28</v>
      </c>
      <c r="C6" s="73" t="s">
        <v>57</v>
      </c>
      <c r="D6" s="77"/>
      <c r="E6" s="77"/>
      <c r="F6" s="78"/>
      <c r="G6" s="77"/>
      <c r="H6" s="41"/>
      <c r="I6" s="79"/>
      <c r="J6" s="44"/>
      <c r="K6" s="44"/>
      <c r="L6" s="96"/>
      <c r="M6"/>
    </row>
    <row r="7" spans="1:15" ht="36" customHeight="1" x14ac:dyDescent="0.2">
      <c r="A7" s="115"/>
      <c r="B7" s="76" t="s">
        <v>29</v>
      </c>
      <c r="C7" s="73" t="s">
        <v>58</v>
      </c>
      <c r="D7" s="77"/>
      <c r="E7" s="77"/>
      <c r="F7" s="78"/>
      <c r="G7" s="77"/>
      <c r="H7" s="41"/>
      <c r="I7" s="79"/>
      <c r="J7" s="44"/>
      <c r="K7" s="44"/>
      <c r="L7" s="96"/>
      <c r="M7"/>
    </row>
    <row r="8" spans="1:15" ht="36.75" customHeight="1" x14ac:dyDescent="0.2">
      <c r="A8" s="115"/>
      <c r="B8" s="76" t="s">
        <v>30</v>
      </c>
      <c r="C8" s="73" t="s">
        <v>59</v>
      </c>
      <c r="D8" s="77"/>
      <c r="E8" s="77"/>
      <c r="F8" s="78"/>
      <c r="G8" s="77"/>
      <c r="H8" s="41"/>
      <c r="I8" s="79"/>
      <c r="J8" s="44"/>
      <c r="K8" s="44"/>
      <c r="L8" s="96"/>
      <c r="M8"/>
    </row>
    <row r="9" spans="1:15" ht="33" customHeight="1" x14ac:dyDescent="0.2">
      <c r="A9" s="115"/>
      <c r="B9" s="76" t="s">
        <v>31</v>
      </c>
      <c r="C9" s="73" t="s">
        <v>60</v>
      </c>
      <c r="D9" s="77"/>
      <c r="E9" s="77"/>
      <c r="F9" s="78"/>
      <c r="G9" s="77"/>
      <c r="H9" s="41"/>
      <c r="I9" s="79"/>
      <c r="J9" s="44"/>
      <c r="K9" s="44"/>
      <c r="L9" s="96"/>
      <c r="M9"/>
    </row>
    <row r="10" spans="1:15" ht="28.5" customHeight="1" x14ac:dyDescent="0.2">
      <c r="A10" s="115"/>
      <c r="B10" s="76" t="s">
        <v>32</v>
      </c>
      <c r="C10" s="73" t="s">
        <v>61</v>
      </c>
      <c r="D10" s="77"/>
      <c r="E10" s="77"/>
      <c r="F10" s="78"/>
      <c r="G10" s="77"/>
      <c r="H10" s="41"/>
      <c r="I10" s="79"/>
      <c r="J10" s="44"/>
      <c r="K10" s="44"/>
      <c r="L10" s="96"/>
      <c r="M10"/>
    </row>
    <row r="11" spans="1:15" ht="35.25" customHeight="1" thickBot="1" x14ac:dyDescent="0.25">
      <c r="A11" s="116"/>
      <c r="B11" s="97" t="s">
        <v>53</v>
      </c>
      <c r="C11" s="98" t="s">
        <v>62</v>
      </c>
      <c r="D11" s="99"/>
      <c r="E11" s="99"/>
      <c r="F11" s="100"/>
      <c r="G11" s="99"/>
      <c r="H11" s="60"/>
      <c r="I11" s="101"/>
      <c r="J11" s="61"/>
      <c r="K11" s="61"/>
      <c r="L11" s="102"/>
      <c r="M11"/>
    </row>
    <row r="12" spans="1:15" ht="47.25" customHeight="1" x14ac:dyDescent="0.2">
      <c r="A12" s="114"/>
      <c r="B12" s="88"/>
      <c r="C12" s="89"/>
      <c r="D12" s="90"/>
      <c r="E12" s="90"/>
      <c r="F12" s="91"/>
      <c r="G12" s="90"/>
      <c r="H12" s="92"/>
      <c r="I12" s="93"/>
      <c r="J12" s="94"/>
      <c r="K12" s="94"/>
      <c r="L12" s="95"/>
      <c r="M12"/>
    </row>
    <row r="13" spans="1:15" ht="29.25" customHeight="1" x14ac:dyDescent="0.2">
      <c r="A13" s="115"/>
      <c r="B13" s="76"/>
      <c r="C13" s="73"/>
      <c r="D13" s="77"/>
      <c r="E13" s="77"/>
      <c r="F13" s="78"/>
      <c r="G13" s="77"/>
      <c r="H13" s="41"/>
      <c r="I13" s="79"/>
      <c r="J13" s="44"/>
      <c r="K13" s="44"/>
      <c r="L13" s="96"/>
      <c r="M13" s="104"/>
      <c r="N13" s="104"/>
      <c r="O13" s="104"/>
    </row>
    <row r="14" spans="1:15" ht="30.75" customHeight="1" x14ac:dyDescent="0.2">
      <c r="A14" s="115"/>
      <c r="B14" s="76"/>
      <c r="C14" s="73"/>
      <c r="D14" s="77"/>
      <c r="E14" s="77"/>
      <c r="F14" s="78"/>
      <c r="G14" s="77"/>
      <c r="H14" s="41"/>
      <c r="I14" s="79"/>
      <c r="J14" s="44"/>
      <c r="K14" s="44"/>
      <c r="L14" s="96"/>
      <c r="M14" s="104"/>
      <c r="N14" s="104"/>
      <c r="O14" s="104"/>
    </row>
    <row r="15" spans="1:15" ht="30" customHeight="1" x14ac:dyDescent="0.2">
      <c r="A15" s="115"/>
      <c r="B15" s="76"/>
      <c r="C15" s="73"/>
      <c r="D15" s="77"/>
      <c r="E15" s="77"/>
      <c r="F15" s="78"/>
      <c r="G15" s="77"/>
      <c r="H15" s="41"/>
      <c r="I15" s="79"/>
      <c r="J15" s="44"/>
      <c r="K15" s="44"/>
      <c r="L15" s="96"/>
      <c r="M15" s="104"/>
      <c r="N15" s="104"/>
      <c r="O15" s="104"/>
    </row>
    <row r="16" spans="1:15" ht="20.25" customHeight="1" x14ac:dyDescent="0.2">
      <c r="A16" s="115"/>
      <c r="B16" s="76"/>
      <c r="C16" s="73"/>
      <c r="D16" s="77"/>
      <c r="E16" s="77"/>
      <c r="F16" s="78"/>
      <c r="G16" s="77"/>
      <c r="H16" s="41"/>
      <c r="I16" s="79"/>
      <c r="J16" s="44"/>
      <c r="K16" s="44"/>
      <c r="L16" s="96"/>
      <c r="M16" s="104"/>
      <c r="N16" s="104"/>
      <c r="O16" s="104"/>
    </row>
    <row r="17" spans="1:15" ht="25.5" customHeight="1" x14ac:dyDescent="0.2">
      <c r="A17" s="115"/>
      <c r="B17" s="76"/>
      <c r="C17" s="73"/>
      <c r="D17" s="77"/>
      <c r="E17" s="77"/>
      <c r="F17" s="78"/>
      <c r="G17" s="77"/>
      <c r="H17" s="41"/>
      <c r="I17" s="79"/>
      <c r="J17" s="44"/>
      <c r="K17" s="44"/>
      <c r="L17" s="96"/>
      <c r="M17" s="104"/>
      <c r="N17" s="104"/>
      <c r="O17" s="104"/>
    </row>
    <row r="18" spans="1:15" ht="21.75" customHeight="1" x14ac:dyDescent="0.2">
      <c r="A18" s="115"/>
      <c r="B18" s="76"/>
      <c r="C18" s="45"/>
      <c r="D18" s="77"/>
      <c r="E18" s="77"/>
      <c r="F18" s="78"/>
      <c r="G18" s="77"/>
      <c r="H18" s="41"/>
      <c r="I18" s="79"/>
      <c r="J18" s="44"/>
      <c r="K18" s="44"/>
      <c r="L18" s="96"/>
      <c r="M18" s="104"/>
      <c r="N18" s="104"/>
      <c r="O18" s="104"/>
    </row>
    <row r="19" spans="1:15" ht="14.25" customHeight="1" thickBot="1" x14ac:dyDescent="0.25">
      <c r="A19" s="116"/>
      <c r="B19" s="97"/>
      <c r="C19" s="59"/>
      <c r="D19" s="99"/>
      <c r="E19" s="99"/>
      <c r="F19" s="100"/>
      <c r="G19" s="99"/>
      <c r="H19" s="60"/>
      <c r="I19" s="101"/>
      <c r="J19" s="61"/>
      <c r="K19" s="61"/>
      <c r="L19" s="102"/>
      <c r="M19" s="104"/>
      <c r="N19" s="104"/>
      <c r="O19" s="104"/>
    </row>
    <row r="20" spans="1:15" ht="32.25" customHeight="1" x14ac:dyDescent="0.2">
      <c r="A20" s="114"/>
      <c r="B20" s="88"/>
      <c r="C20" s="103"/>
      <c r="D20" s="90"/>
      <c r="E20" s="90"/>
      <c r="F20" s="91"/>
      <c r="G20" s="90"/>
      <c r="H20" s="92"/>
      <c r="I20" s="93"/>
      <c r="J20" s="94"/>
      <c r="K20" s="94"/>
      <c r="L20" s="95"/>
      <c r="M20" s="104"/>
      <c r="N20" s="104"/>
      <c r="O20" s="104"/>
    </row>
    <row r="21" spans="1:15" ht="24" customHeight="1" x14ac:dyDescent="0.2">
      <c r="A21" s="115"/>
      <c r="B21" s="76"/>
      <c r="C21" s="45"/>
      <c r="D21" s="77"/>
      <c r="E21" s="77"/>
      <c r="F21" s="78"/>
      <c r="G21" s="77"/>
      <c r="H21" s="41"/>
      <c r="I21" s="79"/>
      <c r="J21" s="44"/>
      <c r="K21" s="44"/>
      <c r="L21" s="96"/>
      <c r="M21" s="104"/>
      <c r="N21" s="104"/>
      <c r="O21" s="104"/>
    </row>
    <row r="22" spans="1:15" ht="24" customHeight="1" x14ac:dyDescent="0.2">
      <c r="A22" s="115"/>
      <c r="B22" s="76"/>
      <c r="C22" s="45"/>
      <c r="D22" s="77"/>
      <c r="E22" s="77"/>
      <c r="F22" s="78"/>
      <c r="G22" s="77"/>
      <c r="H22" s="41"/>
      <c r="I22" s="79"/>
      <c r="J22" s="44"/>
      <c r="K22" s="44"/>
      <c r="L22" s="96"/>
      <c r="M22" s="104"/>
      <c r="N22" s="104"/>
      <c r="O22" s="104"/>
    </row>
    <row r="23" spans="1:15" ht="24" customHeight="1" x14ac:dyDescent="0.2">
      <c r="A23" s="115"/>
      <c r="B23" s="76"/>
      <c r="C23" s="45"/>
      <c r="D23" s="77"/>
      <c r="E23" s="77"/>
      <c r="F23" s="78"/>
      <c r="G23" s="77"/>
      <c r="H23" s="41"/>
      <c r="I23" s="79"/>
      <c r="J23" s="44"/>
      <c r="K23" s="44"/>
      <c r="L23" s="96"/>
      <c r="M23" s="104"/>
      <c r="N23" s="104"/>
      <c r="O23" s="104"/>
    </row>
    <row r="24" spans="1:15" ht="24" customHeight="1" x14ac:dyDescent="0.2">
      <c r="A24" s="115"/>
      <c r="B24" s="76"/>
      <c r="C24" s="45"/>
      <c r="D24" s="77"/>
      <c r="E24" s="77"/>
      <c r="F24" s="78"/>
      <c r="G24" s="77"/>
      <c r="H24" s="41"/>
      <c r="I24" s="79"/>
      <c r="J24" s="44"/>
      <c r="K24" s="44"/>
      <c r="L24" s="96"/>
      <c r="M24" s="104"/>
      <c r="N24" s="104"/>
      <c r="O24" s="104"/>
    </row>
    <row r="25" spans="1:15" ht="24" customHeight="1" x14ac:dyDescent="0.2">
      <c r="A25" s="115"/>
      <c r="B25" s="76"/>
      <c r="C25" s="45"/>
      <c r="D25" s="77"/>
      <c r="E25" s="77"/>
      <c r="F25" s="78"/>
      <c r="G25" s="77"/>
      <c r="H25" s="41"/>
      <c r="I25" s="79"/>
      <c r="J25" s="44"/>
      <c r="K25" s="44"/>
      <c r="L25" s="96"/>
      <c r="M25" s="104"/>
      <c r="N25" s="104"/>
      <c r="O25" s="104"/>
    </row>
    <row r="26" spans="1:15" ht="29.25" customHeight="1" x14ac:dyDescent="0.2">
      <c r="A26" s="115"/>
      <c r="B26" s="76"/>
      <c r="C26" s="45"/>
      <c r="D26" s="77"/>
      <c r="E26" s="77"/>
      <c r="F26" s="78"/>
      <c r="G26" s="77"/>
      <c r="H26" s="41"/>
      <c r="I26" s="79"/>
      <c r="J26" s="44"/>
      <c r="K26" s="44"/>
      <c r="L26" s="96"/>
      <c r="M26" s="104"/>
      <c r="N26" s="104"/>
      <c r="O26" s="104"/>
    </row>
    <row r="27" spans="1:15" ht="20.25" customHeight="1" thickBot="1" x14ac:dyDescent="0.25">
      <c r="A27" s="116"/>
      <c r="B27" s="97"/>
      <c r="C27" s="59"/>
      <c r="D27" s="99"/>
      <c r="E27" s="99"/>
      <c r="F27" s="100"/>
      <c r="G27" s="99"/>
      <c r="H27" s="60"/>
      <c r="I27" s="101"/>
      <c r="J27" s="61"/>
      <c r="K27" s="61"/>
      <c r="L27" s="102"/>
      <c r="M27" s="104"/>
      <c r="N27" s="104"/>
      <c r="O27" s="104"/>
    </row>
    <row r="28" spans="1:15" ht="20.25" customHeight="1" x14ac:dyDescent="0.2">
      <c r="A28" s="114"/>
      <c r="B28" s="88"/>
      <c r="C28" s="103"/>
      <c r="D28" s="90"/>
      <c r="E28" s="90"/>
      <c r="F28" s="91"/>
      <c r="G28" s="90"/>
      <c r="H28" s="92"/>
      <c r="I28" s="93"/>
      <c r="J28" s="94"/>
      <c r="K28" s="94"/>
      <c r="L28" s="95"/>
      <c r="M28" s="104"/>
      <c r="N28" s="104"/>
      <c r="O28" s="104"/>
    </row>
    <row r="29" spans="1:15" ht="20.25" customHeight="1" x14ac:dyDescent="0.2">
      <c r="A29" s="115"/>
      <c r="B29" s="76"/>
      <c r="C29" s="45"/>
      <c r="D29" s="77"/>
      <c r="E29" s="77"/>
      <c r="F29" s="78"/>
      <c r="G29" s="77"/>
      <c r="H29" s="41"/>
      <c r="I29" s="79"/>
      <c r="J29" s="44"/>
      <c r="K29" s="44"/>
      <c r="L29" s="96"/>
      <c r="M29" s="104"/>
      <c r="N29" s="104"/>
      <c r="O29" s="104"/>
    </row>
    <row r="30" spans="1:15" ht="20.25" customHeight="1" x14ac:dyDescent="0.2">
      <c r="A30" s="115"/>
      <c r="B30" s="76"/>
      <c r="C30" s="45"/>
      <c r="D30" s="77"/>
      <c r="E30" s="77"/>
      <c r="F30" s="56"/>
      <c r="G30" s="77"/>
      <c r="H30" s="41"/>
      <c r="I30" s="79"/>
      <c r="J30" s="44"/>
      <c r="K30" s="44"/>
      <c r="L30" s="96"/>
      <c r="M30" s="104"/>
      <c r="N30" s="104"/>
      <c r="O30" s="104"/>
    </row>
    <row r="31" spans="1:15" ht="20.25" customHeight="1" x14ac:dyDescent="0.2">
      <c r="A31" s="115"/>
      <c r="B31" s="76"/>
      <c r="C31" s="45"/>
      <c r="D31" s="77"/>
      <c r="E31" s="77"/>
      <c r="F31" s="56"/>
      <c r="G31" s="77"/>
      <c r="H31" s="41"/>
      <c r="I31" s="79"/>
      <c r="J31" s="44"/>
      <c r="K31" s="44"/>
      <c r="L31" s="96"/>
      <c r="M31" s="104"/>
      <c r="N31" s="104"/>
      <c r="O31" s="104"/>
    </row>
    <row r="32" spans="1:15" ht="14.25" customHeight="1" x14ac:dyDescent="0.2">
      <c r="A32" s="115"/>
      <c r="B32" s="76"/>
      <c r="C32" s="45"/>
      <c r="D32" s="77"/>
      <c r="E32" s="77"/>
      <c r="F32" s="56"/>
      <c r="G32" s="77"/>
      <c r="H32" s="41"/>
      <c r="I32" s="79"/>
      <c r="J32" s="44"/>
      <c r="K32" s="44"/>
      <c r="L32" s="96"/>
      <c r="M32" s="104"/>
      <c r="N32" s="104"/>
      <c r="O32" s="104"/>
    </row>
    <row r="33" spans="1:15" ht="21" customHeight="1" x14ac:dyDescent="0.2">
      <c r="A33" s="115"/>
      <c r="B33" s="76"/>
      <c r="C33" s="45"/>
      <c r="D33" s="77"/>
      <c r="E33" s="77"/>
      <c r="F33" s="56"/>
      <c r="G33" s="77"/>
      <c r="H33" s="41"/>
      <c r="I33" s="79"/>
      <c r="J33" s="44"/>
      <c r="K33" s="44"/>
      <c r="L33" s="96"/>
      <c r="M33" s="104"/>
      <c r="N33" s="104"/>
      <c r="O33" s="104"/>
    </row>
    <row r="34" spans="1:15" ht="21.75" customHeight="1" x14ac:dyDescent="0.2">
      <c r="A34" s="115"/>
      <c r="B34" s="76"/>
      <c r="C34" s="45"/>
      <c r="D34" s="77"/>
      <c r="E34" s="77"/>
      <c r="F34" s="56"/>
      <c r="G34" s="77"/>
      <c r="H34" s="41"/>
      <c r="I34" s="79"/>
      <c r="J34" s="44"/>
      <c r="K34" s="44"/>
      <c r="L34" s="96"/>
      <c r="M34" s="104"/>
      <c r="N34" s="104"/>
      <c r="O34" s="104"/>
    </row>
    <row r="35" spans="1:15" ht="21.75" customHeight="1" thickBot="1" x14ac:dyDescent="0.25">
      <c r="A35" s="116"/>
      <c r="B35" s="97"/>
      <c r="C35" s="59"/>
      <c r="D35" s="99"/>
      <c r="E35" s="99"/>
      <c r="F35" s="63"/>
      <c r="G35" s="99"/>
      <c r="H35" s="60"/>
      <c r="I35" s="101"/>
      <c r="J35" s="61"/>
      <c r="K35" s="61"/>
      <c r="L35" s="102"/>
      <c r="M35" s="104"/>
      <c r="N35" s="104"/>
      <c r="O35" s="104"/>
    </row>
    <row r="36" spans="1:15" ht="21.75" customHeight="1" x14ac:dyDescent="0.2">
      <c r="A36" s="75"/>
      <c r="B36" s="86"/>
      <c r="C36" s="40"/>
      <c r="D36" s="87"/>
      <c r="E36" s="87"/>
      <c r="F36" s="62"/>
      <c r="G36" s="87"/>
      <c r="H36" s="58"/>
      <c r="I36" s="42"/>
      <c r="J36" s="43"/>
      <c r="K36" s="43"/>
      <c r="L36" s="43"/>
      <c r="M36" s="104"/>
      <c r="N36" s="104"/>
      <c r="O36" s="104"/>
    </row>
    <row r="37" spans="1:15" ht="21.75" customHeight="1" x14ac:dyDescent="0.2">
      <c r="A37" s="80"/>
      <c r="B37" s="76"/>
      <c r="C37" s="45"/>
      <c r="D37" s="77"/>
      <c r="E37" s="77"/>
      <c r="F37" s="78"/>
      <c r="G37" s="77"/>
      <c r="H37" s="41"/>
      <c r="I37" s="79"/>
      <c r="J37" s="44"/>
      <c r="K37" s="44"/>
      <c r="L37" s="44"/>
      <c r="M37" s="104"/>
      <c r="N37" s="104"/>
      <c r="O37" s="104"/>
    </row>
    <row r="38" spans="1:15" ht="21.75" customHeight="1" x14ac:dyDescent="0.2">
      <c r="A38" s="80"/>
      <c r="B38" s="76"/>
      <c r="C38" s="45"/>
      <c r="D38" s="77"/>
      <c r="E38" s="77"/>
      <c r="F38" s="78"/>
      <c r="G38" s="77"/>
      <c r="H38" s="41"/>
      <c r="I38" s="79"/>
      <c r="J38" s="44"/>
      <c r="K38" s="44"/>
      <c r="L38" s="44"/>
      <c r="M38" s="104"/>
      <c r="N38" s="104"/>
      <c r="O38" s="104"/>
    </row>
    <row r="39" spans="1:15" ht="21" customHeight="1" x14ac:dyDescent="0.2">
      <c r="A39" s="80"/>
      <c r="B39" s="76"/>
      <c r="C39" s="45"/>
      <c r="D39" s="77"/>
      <c r="E39" s="77"/>
      <c r="F39" s="78"/>
      <c r="G39" s="77"/>
      <c r="H39" s="41"/>
      <c r="I39" s="79"/>
      <c r="J39" s="44"/>
      <c r="K39" s="44"/>
      <c r="L39" s="44"/>
      <c r="M39" s="104"/>
      <c r="N39" s="104"/>
      <c r="O39" s="104"/>
    </row>
    <row r="40" spans="1:15" ht="19.5" customHeight="1" x14ac:dyDescent="0.2">
      <c r="A40" s="80"/>
      <c r="B40" s="76"/>
      <c r="C40" s="45"/>
      <c r="D40" s="77"/>
      <c r="E40" s="77"/>
      <c r="F40" s="78"/>
      <c r="G40" s="77"/>
      <c r="H40" s="41"/>
      <c r="I40" s="79"/>
      <c r="J40" s="44"/>
      <c r="K40" s="44"/>
      <c r="L40" s="44"/>
      <c r="M40" s="104"/>
      <c r="N40" s="104"/>
      <c r="O40" s="104"/>
    </row>
    <row r="41" spans="1:15" ht="17.25" customHeight="1" x14ac:dyDescent="0.2">
      <c r="A41" s="80"/>
      <c r="B41" s="76"/>
      <c r="C41" s="45"/>
      <c r="D41" s="77"/>
      <c r="E41" s="77"/>
      <c r="F41" s="78"/>
      <c r="G41" s="77"/>
      <c r="H41" s="41"/>
      <c r="I41" s="79"/>
      <c r="J41" s="44"/>
      <c r="K41" s="44"/>
      <c r="L41" s="44"/>
      <c r="M41" s="104"/>
      <c r="N41" s="104"/>
      <c r="O41" s="104"/>
    </row>
    <row r="42" spans="1:15" ht="17.25" customHeight="1" x14ac:dyDescent="0.2">
      <c r="A42" s="80"/>
      <c r="B42" s="76"/>
      <c r="C42" s="45"/>
      <c r="D42" s="77"/>
      <c r="E42" s="77"/>
      <c r="F42" s="78"/>
      <c r="G42" s="77"/>
      <c r="H42" s="41"/>
      <c r="I42" s="79"/>
      <c r="J42" s="44"/>
      <c r="K42" s="44"/>
      <c r="L42" s="44"/>
      <c r="M42" s="104"/>
      <c r="N42" s="104"/>
      <c r="O42" s="104"/>
    </row>
    <row r="43" spans="1:15" ht="17.25" customHeight="1" x14ac:dyDescent="0.2">
      <c r="A43" s="80"/>
      <c r="B43" s="76"/>
      <c r="C43" s="45"/>
      <c r="D43" s="77"/>
      <c r="E43" s="77"/>
      <c r="F43" s="78"/>
      <c r="G43" s="77"/>
      <c r="H43" s="41"/>
      <c r="I43" s="79"/>
      <c r="J43" s="44"/>
      <c r="K43" s="44"/>
      <c r="L43" s="44"/>
      <c r="M43" s="104"/>
      <c r="N43" s="104"/>
      <c r="O43" s="104"/>
    </row>
    <row r="44" spans="1:15" ht="17.25" customHeight="1" x14ac:dyDescent="0.2">
      <c r="A44" s="80"/>
      <c r="B44" s="76"/>
      <c r="C44" s="45"/>
      <c r="D44" s="77"/>
      <c r="E44" s="77"/>
      <c r="F44" s="78"/>
      <c r="G44" s="77"/>
      <c r="H44" s="41"/>
      <c r="I44" s="79"/>
      <c r="J44" s="44"/>
      <c r="K44" s="44"/>
      <c r="L44" s="44"/>
      <c r="M44" s="104"/>
      <c r="N44" s="104"/>
      <c r="O44" s="104"/>
    </row>
    <row r="45" spans="1:15" ht="17.25" customHeight="1" x14ac:dyDescent="0.2">
      <c r="A45" s="80"/>
      <c r="B45" s="76"/>
      <c r="C45" s="45"/>
      <c r="D45" s="77"/>
      <c r="E45" s="77"/>
      <c r="F45" s="78"/>
      <c r="G45" s="77"/>
      <c r="H45" s="41"/>
      <c r="I45" s="79"/>
      <c r="J45" s="44"/>
      <c r="K45" s="44"/>
      <c r="L45" s="44"/>
      <c r="M45" s="104"/>
      <c r="N45" s="104"/>
      <c r="O45" s="104"/>
    </row>
    <row r="46" spans="1:15" ht="15.75" customHeight="1" x14ac:dyDescent="0.2">
      <c r="A46" s="80"/>
      <c r="B46" s="76"/>
      <c r="C46" s="45"/>
      <c r="D46" s="77"/>
      <c r="E46" s="77"/>
      <c r="F46" s="78"/>
      <c r="G46" s="77"/>
      <c r="H46" s="41"/>
      <c r="I46" s="79"/>
      <c r="J46" s="44"/>
      <c r="K46" s="44"/>
      <c r="L46" s="44"/>
      <c r="M46" s="104"/>
      <c r="N46" s="104"/>
      <c r="O46" s="104"/>
    </row>
    <row r="47" spans="1:15" ht="18.75" customHeight="1" x14ac:dyDescent="0.2">
      <c r="A47" s="80"/>
      <c r="B47" s="76"/>
      <c r="C47" s="45"/>
      <c r="D47" s="77"/>
      <c r="E47" s="77"/>
      <c r="F47" s="78"/>
      <c r="G47" s="77"/>
      <c r="H47" s="41"/>
      <c r="I47" s="79"/>
      <c r="J47" s="44"/>
      <c r="K47" s="44"/>
      <c r="L47" s="44"/>
      <c r="M47" s="104"/>
      <c r="N47" s="104"/>
      <c r="O47" s="104"/>
    </row>
    <row r="48" spans="1:15" ht="19.5" customHeight="1" x14ac:dyDescent="0.2">
      <c r="A48" s="80"/>
      <c r="B48" s="76"/>
      <c r="C48" s="45"/>
      <c r="D48" s="77"/>
      <c r="E48" s="77"/>
      <c r="F48" s="78"/>
      <c r="G48" s="77"/>
      <c r="H48" s="41"/>
      <c r="I48" s="79"/>
      <c r="J48" s="44"/>
      <c r="K48" s="44"/>
      <c r="L48" s="44"/>
      <c r="M48" s="104"/>
      <c r="N48" s="104"/>
      <c r="O48" s="104"/>
    </row>
    <row r="49" spans="1:15" ht="19.5" customHeight="1" x14ac:dyDescent="0.2">
      <c r="A49" s="80"/>
      <c r="B49" s="76"/>
      <c r="C49" s="45"/>
      <c r="D49" s="77"/>
      <c r="E49" s="77"/>
      <c r="F49" s="78"/>
      <c r="G49" s="77"/>
      <c r="H49" s="41"/>
      <c r="I49" s="79"/>
      <c r="J49" s="44"/>
      <c r="K49" s="44"/>
      <c r="L49" s="44"/>
      <c r="M49" s="104"/>
      <c r="N49" s="104"/>
      <c r="O49" s="104"/>
    </row>
    <row r="50" spans="1:15" ht="19.5" customHeight="1" x14ac:dyDescent="0.2">
      <c r="A50" s="80"/>
      <c r="B50" s="76"/>
      <c r="C50" s="45"/>
      <c r="D50" s="77"/>
      <c r="E50" s="77"/>
      <c r="F50" s="78"/>
      <c r="G50" s="77"/>
      <c r="H50" s="41"/>
      <c r="I50" s="79"/>
      <c r="J50" s="44"/>
      <c r="K50" s="44"/>
      <c r="L50" s="44"/>
      <c r="M50" s="104"/>
      <c r="N50" s="104"/>
      <c r="O50" s="104"/>
    </row>
    <row r="51" spans="1:15" ht="19.5" customHeight="1" x14ac:dyDescent="0.2">
      <c r="A51" s="80"/>
      <c r="B51" s="76"/>
      <c r="C51" s="45"/>
      <c r="D51" s="77"/>
      <c r="E51" s="77"/>
      <c r="F51" s="78"/>
      <c r="G51" s="77"/>
      <c r="H51" s="41"/>
      <c r="I51" s="79"/>
      <c r="J51" s="44"/>
      <c r="K51" s="44"/>
      <c r="L51" s="44"/>
      <c r="M51" s="104"/>
      <c r="N51" s="104"/>
      <c r="O51" s="104"/>
    </row>
    <row r="52" spans="1:15" ht="19.5" customHeight="1" x14ac:dyDescent="0.2">
      <c r="A52" s="80"/>
      <c r="B52" s="76"/>
      <c r="C52" s="45"/>
      <c r="D52" s="77"/>
      <c r="E52" s="77"/>
      <c r="F52" s="78"/>
      <c r="G52" s="77"/>
      <c r="H52" s="41"/>
      <c r="I52" s="79"/>
      <c r="J52" s="44"/>
      <c r="K52" s="44"/>
      <c r="L52" s="44"/>
      <c r="M52" s="104"/>
      <c r="N52" s="104"/>
      <c r="O52" s="104"/>
    </row>
    <row r="53" spans="1:15" ht="20.25" customHeight="1" x14ac:dyDescent="0.2">
      <c r="A53" s="80"/>
      <c r="B53" s="76"/>
      <c r="C53" s="45"/>
      <c r="D53" s="77"/>
      <c r="E53" s="77"/>
      <c r="F53" s="78"/>
      <c r="G53" s="77"/>
      <c r="H53" s="41"/>
      <c r="I53" s="79"/>
      <c r="J53" s="44"/>
      <c r="K53" s="44"/>
      <c r="L53" s="44"/>
      <c r="M53" s="104"/>
      <c r="N53" s="104"/>
      <c r="O53" s="104"/>
    </row>
    <row r="54" spans="1:15" ht="18" customHeight="1" x14ac:dyDescent="0.2">
      <c r="A54" s="80"/>
      <c r="B54" s="76"/>
      <c r="C54" s="45"/>
      <c r="D54" s="77"/>
      <c r="E54" s="77"/>
      <c r="F54" s="78"/>
      <c r="G54" s="77"/>
      <c r="H54" s="41"/>
      <c r="I54" s="79"/>
      <c r="J54" s="44"/>
      <c r="K54" s="44"/>
      <c r="L54" s="44"/>
      <c r="M54" s="104"/>
      <c r="N54" s="104"/>
      <c r="O54" s="104"/>
    </row>
    <row r="55" spans="1:15" ht="17.25" customHeight="1" x14ac:dyDescent="0.2">
      <c r="A55" s="80"/>
      <c r="B55" s="76"/>
      <c r="C55" s="45"/>
      <c r="D55" s="77"/>
      <c r="E55" s="77"/>
      <c r="F55" s="78"/>
      <c r="G55" s="77"/>
      <c r="H55" s="41"/>
      <c r="I55" s="79"/>
      <c r="J55" s="44"/>
      <c r="K55" s="44"/>
      <c r="L55" s="44"/>
      <c r="M55" s="104"/>
      <c r="N55" s="104"/>
      <c r="O55" s="104"/>
    </row>
    <row r="56" spans="1:15" ht="17.25" customHeight="1" x14ac:dyDescent="0.2">
      <c r="A56" s="80"/>
      <c r="B56" s="76"/>
      <c r="C56" s="45"/>
      <c r="D56" s="77"/>
      <c r="E56" s="77"/>
      <c r="F56" s="78"/>
      <c r="G56" s="77"/>
      <c r="H56" s="41"/>
      <c r="I56" s="79"/>
      <c r="J56" s="44"/>
      <c r="K56" s="44"/>
      <c r="L56" s="44"/>
      <c r="M56" s="104"/>
      <c r="N56" s="104"/>
      <c r="O56" s="104"/>
    </row>
    <row r="57" spans="1:15" ht="17.25" customHeight="1" x14ac:dyDescent="0.2">
      <c r="A57" s="80"/>
      <c r="B57" s="76"/>
      <c r="C57" s="45"/>
      <c r="D57" s="77"/>
      <c r="E57" s="77"/>
      <c r="F57" s="78"/>
      <c r="G57" s="77"/>
      <c r="H57" s="41"/>
      <c r="I57" s="79"/>
      <c r="J57" s="44"/>
      <c r="K57" s="44"/>
      <c r="L57" s="44"/>
      <c r="M57" s="104"/>
      <c r="N57" s="104"/>
      <c r="O57" s="104"/>
    </row>
    <row r="58" spans="1:15" ht="17.25" customHeight="1" x14ac:dyDescent="0.2">
      <c r="A58" s="80"/>
      <c r="B58" s="76"/>
      <c r="C58" s="45"/>
      <c r="D58" s="77"/>
      <c r="E58" s="77"/>
      <c r="F58" s="78"/>
      <c r="G58" s="77"/>
      <c r="H58" s="41"/>
      <c r="I58" s="79"/>
      <c r="J58" s="44"/>
      <c r="K58" s="44"/>
      <c r="L58" s="44"/>
      <c r="M58" s="104"/>
      <c r="N58" s="104"/>
      <c r="O58" s="104"/>
    </row>
    <row r="59" spans="1:15" ht="17.25" customHeight="1" x14ac:dyDescent="0.2">
      <c r="A59" s="80"/>
      <c r="B59" s="76"/>
      <c r="C59" s="45"/>
      <c r="D59" s="77"/>
      <c r="E59" s="77"/>
      <c r="F59" s="78"/>
      <c r="G59" s="77"/>
      <c r="H59" s="41"/>
      <c r="I59" s="79"/>
      <c r="J59" s="44"/>
      <c r="K59" s="44"/>
      <c r="L59" s="44"/>
      <c r="M59" s="104"/>
      <c r="N59" s="104"/>
      <c r="O59" s="104"/>
    </row>
    <row r="60" spans="1:15" ht="18.75" customHeight="1" x14ac:dyDescent="0.2">
      <c r="A60" s="80"/>
      <c r="B60" s="76"/>
      <c r="C60" s="45"/>
      <c r="D60" s="77"/>
      <c r="E60" s="77"/>
      <c r="F60" s="78"/>
      <c r="G60" s="77"/>
      <c r="H60" s="41"/>
      <c r="I60" s="79"/>
      <c r="J60" s="44"/>
      <c r="K60" s="44"/>
      <c r="L60" s="44"/>
      <c r="M60" s="104"/>
      <c r="N60" s="104"/>
      <c r="O60" s="104"/>
    </row>
    <row r="61" spans="1:15" ht="18.75" customHeight="1" x14ac:dyDescent="0.2">
      <c r="A61" s="80"/>
      <c r="B61" s="76"/>
      <c r="C61" s="45"/>
      <c r="D61" s="77"/>
      <c r="E61" s="77"/>
      <c r="F61" s="78"/>
      <c r="G61" s="77"/>
      <c r="H61" s="41"/>
      <c r="I61" s="79"/>
      <c r="J61" s="44"/>
      <c r="K61" s="44"/>
      <c r="L61" s="44"/>
      <c r="M61" s="104"/>
      <c r="N61" s="104"/>
      <c r="O61" s="104"/>
    </row>
    <row r="62" spans="1:15" ht="18.75" customHeight="1" x14ac:dyDescent="0.2">
      <c r="A62" s="80"/>
      <c r="B62" s="76"/>
      <c r="C62" s="45"/>
      <c r="D62" s="77"/>
      <c r="E62" s="77"/>
      <c r="F62" s="78"/>
      <c r="G62" s="77"/>
      <c r="H62" s="41"/>
      <c r="I62" s="79"/>
      <c r="J62" s="44"/>
      <c r="K62" s="44"/>
      <c r="L62" s="44"/>
      <c r="M62" s="104"/>
      <c r="N62" s="104"/>
      <c r="O62" s="104"/>
    </row>
    <row r="63" spans="1:15" ht="18.75" customHeight="1" x14ac:dyDescent="0.2">
      <c r="A63" s="80"/>
      <c r="B63" s="76"/>
      <c r="C63" s="45"/>
      <c r="D63" s="77"/>
      <c r="E63" s="77"/>
      <c r="F63" s="78"/>
      <c r="G63" s="77"/>
      <c r="H63" s="41"/>
      <c r="I63" s="79"/>
      <c r="J63" s="44"/>
      <c r="K63" s="44"/>
      <c r="L63" s="44"/>
      <c r="M63" s="104"/>
      <c r="N63" s="104"/>
      <c r="O63" s="104"/>
    </row>
    <row r="64" spans="1:15" ht="18.75" customHeight="1" x14ac:dyDescent="0.2">
      <c r="A64" s="80"/>
      <c r="B64" s="76"/>
      <c r="C64" s="45"/>
      <c r="D64" s="77"/>
      <c r="E64" s="77"/>
      <c r="F64" s="78"/>
      <c r="G64" s="77"/>
      <c r="H64" s="41"/>
      <c r="I64" s="79"/>
      <c r="J64" s="44"/>
      <c r="K64" s="44"/>
      <c r="L64" s="44"/>
      <c r="M64" s="104"/>
      <c r="N64" s="104"/>
      <c r="O64" s="104"/>
    </row>
    <row r="65" spans="1:15" ht="18" customHeight="1" x14ac:dyDescent="0.2">
      <c r="A65" s="80"/>
      <c r="B65" s="76"/>
      <c r="C65" s="45"/>
      <c r="D65" s="77"/>
      <c r="E65" s="77"/>
      <c r="F65" s="77"/>
      <c r="G65" s="77"/>
      <c r="H65" s="77"/>
      <c r="I65" s="44"/>
      <c r="J65" s="44"/>
      <c r="K65" s="44"/>
      <c r="L65" s="81"/>
      <c r="M65" s="104"/>
      <c r="N65" s="104"/>
      <c r="O65" s="104"/>
    </row>
    <row r="66" spans="1:15" ht="18" customHeight="1" x14ac:dyDescent="0.2">
      <c r="A66" s="104"/>
      <c r="B66" s="104"/>
      <c r="C66" s="104"/>
      <c r="D66" s="104"/>
      <c r="E66" s="104"/>
      <c r="F66" s="104"/>
      <c r="G66" s="104"/>
      <c r="H66" s="104"/>
      <c r="I66" s="104"/>
      <c r="J66" s="104"/>
      <c r="K66" s="104"/>
      <c r="L66" s="104"/>
      <c r="M66" s="104"/>
      <c r="N66" s="104"/>
      <c r="O66" s="104"/>
    </row>
    <row r="67" spans="1:15" ht="24" customHeight="1" x14ac:dyDescent="0.2">
      <c r="A67" s="104"/>
      <c r="B67" s="104"/>
      <c r="C67" s="104"/>
      <c r="D67" s="104"/>
      <c r="E67" s="104"/>
      <c r="F67" s="104"/>
      <c r="G67" s="104"/>
      <c r="H67" s="104"/>
      <c r="I67" s="104"/>
      <c r="J67" s="104"/>
      <c r="K67" s="104"/>
      <c r="L67" s="104"/>
      <c r="M67" s="104"/>
      <c r="N67" s="104"/>
      <c r="O67" s="104"/>
    </row>
    <row r="68" spans="1:15" ht="24" customHeight="1" x14ac:dyDescent="0.2">
      <c r="A68" s="104"/>
      <c r="B68" s="104"/>
      <c r="C68" s="104"/>
      <c r="D68" s="104"/>
      <c r="E68" s="104"/>
      <c r="F68" s="104"/>
      <c r="G68" s="104"/>
      <c r="H68" s="104"/>
      <c r="I68" s="104"/>
      <c r="J68" s="104"/>
      <c r="K68" s="104"/>
      <c r="L68" s="104"/>
      <c r="M68" s="104"/>
      <c r="N68" s="104"/>
      <c r="O68" s="104"/>
    </row>
    <row r="69" spans="1:15" ht="12.75" customHeight="1" x14ac:dyDescent="0.2">
      <c r="A69" s="104"/>
      <c r="B69" s="104"/>
      <c r="C69" s="104"/>
      <c r="D69" s="104"/>
      <c r="E69" s="104"/>
      <c r="F69" s="104"/>
      <c r="G69" s="104"/>
      <c r="H69" s="104"/>
      <c r="I69" s="104"/>
      <c r="J69" s="104"/>
      <c r="K69" s="104"/>
      <c r="L69" s="104"/>
      <c r="M69" s="104"/>
      <c r="N69" s="104"/>
      <c r="O69" s="104"/>
    </row>
    <row r="70" spans="1:15" ht="53.25" customHeight="1" x14ac:dyDescent="0.2">
      <c r="A70" s="104"/>
      <c r="B70" s="104"/>
      <c r="C70" s="104"/>
      <c r="D70" s="104"/>
      <c r="E70" s="104"/>
      <c r="F70" s="104"/>
      <c r="G70" s="104"/>
      <c r="H70" s="104"/>
      <c r="I70" s="104"/>
      <c r="J70" s="104"/>
      <c r="K70" s="104"/>
      <c r="L70" s="104"/>
      <c r="M70" s="104"/>
      <c r="N70" s="104"/>
      <c r="O70" s="104"/>
    </row>
    <row r="71" spans="1:15" ht="42" customHeight="1" x14ac:dyDescent="0.2">
      <c r="A71" s="104"/>
      <c r="B71" s="104"/>
      <c r="C71" s="104"/>
      <c r="D71" s="104"/>
      <c r="E71" s="104"/>
      <c r="F71" s="104"/>
      <c r="G71" s="104"/>
      <c r="H71" s="104"/>
      <c r="I71" s="104"/>
      <c r="J71" s="104"/>
      <c r="K71" s="104"/>
      <c r="L71" s="104"/>
      <c r="M71" s="104"/>
      <c r="N71" s="104"/>
      <c r="O71" s="104"/>
    </row>
    <row r="72" spans="1:15" ht="42" customHeight="1" x14ac:dyDescent="0.2">
      <c r="A72" s="104"/>
      <c r="B72" s="104"/>
      <c r="C72" s="104"/>
      <c r="D72" s="104"/>
      <c r="E72" s="104"/>
      <c r="F72" s="104"/>
      <c r="G72" s="104"/>
      <c r="H72" s="104"/>
      <c r="I72" s="104"/>
      <c r="J72" s="104"/>
      <c r="K72" s="104"/>
      <c r="L72" s="104"/>
      <c r="M72" s="104"/>
      <c r="N72" s="104"/>
      <c r="O72" s="104"/>
    </row>
    <row r="73" spans="1:15" ht="21.75" customHeight="1" x14ac:dyDescent="0.2">
      <c r="A73" s="104"/>
      <c r="B73" s="104"/>
      <c r="C73" s="104"/>
      <c r="D73" s="104"/>
      <c r="E73" s="104"/>
      <c r="F73" s="104"/>
      <c r="G73" s="104"/>
      <c r="H73" s="104"/>
      <c r="I73" s="104"/>
      <c r="J73" s="104"/>
      <c r="K73" s="104"/>
      <c r="L73" s="104"/>
      <c r="M73" s="104"/>
      <c r="N73" s="104"/>
      <c r="O73" s="104"/>
    </row>
    <row r="74" spans="1:15" ht="18.75" customHeight="1" x14ac:dyDescent="0.2">
      <c r="A74" s="104"/>
      <c r="B74" s="104"/>
      <c r="C74" s="104"/>
      <c r="D74" s="104"/>
      <c r="E74" s="104"/>
      <c r="F74" s="104"/>
      <c r="G74" s="104"/>
      <c r="H74" s="104"/>
      <c r="I74" s="104"/>
      <c r="J74" s="104"/>
      <c r="K74" s="104"/>
      <c r="L74" s="104"/>
      <c r="M74" s="104"/>
      <c r="N74" s="104"/>
      <c r="O74" s="104"/>
    </row>
    <row r="75" spans="1:15" ht="21.75" customHeight="1" x14ac:dyDescent="0.2"/>
    <row r="76" spans="1:15" ht="18.75" customHeight="1" x14ac:dyDescent="0.2"/>
    <row r="77" spans="1:15" ht="18" customHeight="1" x14ac:dyDescent="0.2"/>
    <row r="78" spans="1:15" ht="21" customHeight="1" x14ac:dyDescent="0.2"/>
    <row r="79" spans="1:15" ht="16.5" customHeight="1" x14ac:dyDescent="0.2"/>
    <row r="80" spans="1:15" ht="19.5" customHeight="1" x14ac:dyDescent="0.2"/>
    <row r="81" ht="19.5" customHeight="1" x14ac:dyDescent="0.2"/>
    <row r="82" ht="18.75" customHeight="1" x14ac:dyDescent="0.2"/>
    <row r="83" ht="11.25" customHeight="1" x14ac:dyDescent="0.2"/>
    <row r="84" ht="11.25" customHeight="1" x14ac:dyDescent="0.2"/>
    <row r="101" ht="17.25" customHeight="1" x14ac:dyDescent="0.2"/>
    <row r="102" ht="21" customHeight="1" x14ac:dyDescent="0.2"/>
    <row r="103" ht="21" customHeight="1" x14ac:dyDescent="0.2"/>
    <row r="104" ht="22.5" customHeight="1" x14ac:dyDescent="0.2"/>
  </sheetData>
  <mergeCells count="14">
    <mergeCell ref="A1:L1"/>
    <mergeCell ref="A5:A11"/>
    <mergeCell ref="A12:A19"/>
    <mergeCell ref="A20:A27"/>
    <mergeCell ref="A28:A35"/>
    <mergeCell ref="A2:A3"/>
    <mergeCell ref="B2:B3"/>
    <mergeCell ref="C2:C3"/>
    <mergeCell ref="D2:D3"/>
    <mergeCell ref="E2:E3"/>
    <mergeCell ref="F2:F3"/>
    <mergeCell ref="G2:G3"/>
    <mergeCell ref="H2:H3"/>
    <mergeCell ref="A4:L4"/>
  </mergeCells>
  <phoneticPr fontId="19" type="noConversion"/>
  <dataValidations count="8">
    <dataValidation type="decimal" operator="lessThanOrEqual" allowBlank="1" showInputMessage="1" showErrorMessage="1" sqref="M5 L5:L64 J5:K65" xr:uid="{4A72EA72-A066-4884-B309-9B4BF33A3547}">
      <formula1>I5</formula1>
    </dataValidation>
    <dataValidation type="list" allowBlank="1" showInputMessage="1" showErrorMessage="1" sqref="H104:H65534 H65" xr:uid="{79A0C3AA-409C-4B21-83A9-4D3C713C43F5}">
      <formula1>Status</formula1>
    </dataValidation>
    <dataValidation type="list" allowBlank="1" showInputMessage="1" showErrorMessage="1" sqref="G18:G65" xr:uid="{30624D61-6BF2-48E5-AA19-B1D574C4F044}">
      <formula1>"Build, Unit Test, System Test, Coding, General , Integration"</formula1>
    </dataValidation>
    <dataValidation type="list" allowBlank="1" showInputMessage="1" showErrorMessage="1" sqref="G104:G65534" xr:uid="{2F448ED3-26E5-40C5-A5B3-BAC3167CD41B}">
      <formula1>Category</formula1>
    </dataValidation>
    <dataValidation type="list" allowBlank="1" showInputMessage="1" showErrorMessage="1" sqref="F104:F65534" xr:uid="{CABC7A90-6843-4ED3-965B-A90C7BE5C4A8}">
      <formula1>Team</formula1>
    </dataValidation>
    <dataValidation type="decimal" allowBlank="1" showInputMessage="1" showErrorMessage="1" sqref="I5:I64" xr:uid="{47B7EE8F-AB2F-433C-903E-60BD29850576}">
      <formula1>0</formula1>
      <formula2>12</formula2>
    </dataValidation>
    <dataValidation type="list" allowBlank="1" showInputMessage="1" showErrorMessage="1" sqref="G5:G17" xr:uid="{49B11D9F-6D14-4B60-BAD1-A3490B466BA7}">
      <formula1>"Build, Unit Test, System Test, Coding, General , Integration,Regression Testing"</formula1>
    </dataValidation>
    <dataValidation type="list" allowBlank="1" showInputMessage="1" showErrorMessage="1" sqref="H5:H64" xr:uid="{AC37C4CE-D016-488F-9275-A933790FDE93}">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6"/>
  <sheetViews>
    <sheetView showGridLines="0" workbookViewId="0">
      <pane ySplit="1" topLeftCell="A2" activePane="bottomLeft" state="frozen"/>
      <selection pane="bottomLeft" activeCell="D16" sqref="D16"/>
    </sheetView>
  </sheetViews>
  <sheetFormatPr defaultRowHeight="12.75" x14ac:dyDescent="0.2"/>
  <cols>
    <col min="4" max="4" width="13.140625" customWidth="1"/>
    <col min="5" max="5" width="29.85546875" customWidth="1"/>
    <col min="6" max="6" width="41.5703125" customWidth="1"/>
    <col min="7" max="7" width="27" customWidth="1"/>
    <col min="8" max="8" width="14.28515625" customWidth="1"/>
  </cols>
  <sheetData>
    <row r="1" spans="1:10" ht="28.5" customHeight="1" x14ac:dyDescent="0.2">
      <c r="A1" s="35" t="s">
        <v>45</v>
      </c>
      <c r="B1" s="35" t="s">
        <v>1</v>
      </c>
      <c r="C1" s="35" t="s">
        <v>38</v>
      </c>
      <c r="D1" s="35" t="s">
        <v>49</v>
      </c>
      <c r="E1" s="35" t="s">
        <v>48</v>
      </c>
      <c r="F1" s="35" t="s">
        <v>46</v>
      </c>
      <c r="G1" s="35" t="s">
        <v>47</v>
      </c>
      <c r="H1" s="31"/>
      <c r="I1" s="31"/>
      <c r="J1" s="31"/>
    </row>
    <row r="2" spans="1:10" x14ac:dyDescent="0.2">
      <c r="A2" s="32"/>
      <c r="B2" s="32"/>
      <c r="C2" s="32"/>
      <c r="D2" s="33"/>
      <c r="E2" s="32"/>
      <c r="F2" s="72"/>
      <c r="G2" s="33"/>
    </row>
    <row r="3" spans="1:10" x14ac:dyDescent="0.2">
      <c r="A3" s="32"/>
      <c r="B3" s="32"/>
      <c r="C3" s="32"/>
      <c r="D3" s="32"/>
      <c r="E3" s="32"/>
      <c r="F3" s="32"/>
      <c r="G3" s="33"/>
    </row>
    <row r="4" spans="1:10" x14ac:dyDescent="0.2">
      <c r="A4" s="32"/>
      <c r="B4" s="32"/>
      <c r="C4" s="32"/>
      <c r="D4" s="32"/>
      <c r="E4" s="32"/>
      <c r="F4" s="32"/>
      <c r="G4" s="33"/>
    </row>
    <row r="5" spans="1:10" x14ac:dyDescent="0.2">
      <c r="A5" s="32"/>
      <c r="B5" s="32"/>
      <c r="C5" s="32"/>
      <c r="D5" s="32"/>
      <c r="E5" s="33"/>
      <c r="F5" s="32"/>
      <c r="G5" s="33"/>
    </row>
    <row r="6" spans="1:10" x14ac:dyDescent="0.2">
      <c r="A6" s="32"/>
      <c r="B6" s="32"/>
      <c r="C6" s="32"/>
      <c r="D6" s="32"/>
      <c r="E6" s="32"/>
      <c r="F6" s="32"/>
      <c r="G6" s="33"/>
    </row>
    <row r="7" spans="1:10" x14ac:dyDescent="0.2">
      <c r="A7" s="32"/>
      <c r="B7" s="32"/>
      <c r="C7" s="32"/>
      <c r="D7" s="33"/>
      <c r="E7" s="32"/>
      <c r="F7" s="33"/>
      <c r="G7" s="32"/>
    </row>
    <row r="8" spans="1:10" x14ac:dyDescent="0.2">
      <c r="A8" s="32"/>
      <c r="B8" s="32"/>
      <c r="C8" s="32"/>
      <c r="D8" s="33"/>
      <c r="E8" s="32"/>
      <c r="F8" s="33"/>
      <c r="G8" s="32"/>
    </row>
    <row r="9" spans="1:10" x14ac:dyDescent="0.2">
      <c r="A9" s="32"/>
      <c r="B9" s="32"/>
      <c r="C9" s="32"/>
      <c r="D9" s="33"/>
      <c r="E9" s="32"/>
      <c r="F9" s="32"/>
      <c r="G9" s="32"/>
    </row>
    <row r="10" spans="1:10" ht="15" x14ac:dyDescent="0.25">
      <c r="A10" s="32"/>
      <c r="B10" s="32"/>
      <c r="C10" s="32"/>
      <c r="D10" s="33"/>
      <c r="E10" s="70"/>
      <c r="F10" s="33"/>
      <c r="G10" s="33"/>
    </row>
    <row r="11" spans="1:10" x14ac:dyDescent="0.2">
      <c r="A11" s="32"/>
      <c r="B11" s="32"/>
      <c r="C11" s="32"/>
      <c r="D11" s="33"/>
      <c r="E11" s="32"/>
      <c r="F11" s="32"/>
      <c r="G11" s="32"/>
    </row>
    <row r="12" spans="1:10" x14ac:dyDescent="0.2">
      <c r="A12" s="32"/>
      <c r="B12" s="32"/>
      <c r="C12" s="32"/>
      <c r="D12" s="32"/>
      <c r="E12" s="32"/>
      <c r="F12" s="32"/>
      <c r="G12" s="32"/>
    </row>
    <row r="13" spans="1:10" x14ac:dyDescent="0.2">
      <c r="A13" s="32"/>
      <c r="B13" s="32"/>
      <c r="C13" s="32"/>
      <c r="D13" s="32"/>
      <c r="E13" s="32"/>
      <c r="F13" s="32"/>
      <c r="G13" s="32"/>
    </row>
    <row r="14" spans="1:10" x14ac:dyDescent="0.2">
      <c r="A14" s="32"/>
      <c r="B14" s="32"/>
      <c r="C14" s="32"/>
      <c r="D14" s="32"/>
      <c r="E14" s="32"/>
      <c r="F14" s="32"/>
      <c r="G14" s="32"/>
    </row>
    <row r="15" spans="1:10" x14ac:dyDescent="0.2">
      <c r="A15" s="32"/>
      <c r="B15" s="32"/>
      <c r="C15" s="32"/>
      <c r="D15" s="32"/>
      <c r="E15" s="32"/>
      <c r="F15" s="32"/>
      <c r="G15" s="32"/>
    </row>
    <row r="16" spans="1:10" x14ac:dyDescent="0.2">
      <c r="A16" s="32"/>
      <c r="B16" s="32"/>
      <c r="C16" s="32"/>
      <c r="D16" s="32"/>
      <c r="E16" s="32"/>
      <c r="F16" s="32"/>
      <c r="G16" s="32"/>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I8"/>
  <sheetViews>
    <sheetView showGridLines="0" zoomScale="76" workbookViewId="0">
      <selection activeCell="F16" sqref="F16"/>
    </sheetView>
  </sheetViews>
  <sheetFormatPr defaultRowHeight="12.75" x14ac:dyDescent="0.2"/>
  <cols>
    <col min="1" max="1" width="6.85546875" style="1" customWidth="1"/>
    <col min="2" max="4" width="12.28515625" style="15" customWidth="1"/>
    <col min="5" max="5" width="31.42578125" style="1" customWidth="1"/>
    <col min="6" max="6" width="75" style="15" customWidth="1"/>
    <col min="7" max="7" width="32.5703125" style="16" customWidth="1"/>
    <col min="8" max="8" width="56.85546875" style="1" customWidth="1"/>
    <col min="9" max="9" width="30.42578125" style="1" customWidth="1"/>
    <col min="10" max="16384" width="9.140625" style="1"/>
  </cols>
  <sheetData>
    <row r="1" spans="1:9" s="14" customFormat="1" ht="45.75" customHeight="1" x14ac:dyDescent="0.2">
      <c r="A1" s="13" t="s">
        <v>10</v>
      </c>
      <c r="B1" s="13" t="s">
        <v>21</v>
      </c>
      <c r="C1" s="13" t="s">
        <v>22</v>
      </c>
      <c r="D1" s="13" t="s">
        <v>44</v>
      </c>
      <c r="E1" s="13" t="s">
        <v>25</v>
      </c>
      <c r="F1" s="13" t="s">
        <v>20</v>
      </c>
      <c r="G1" s="13" t="s">
        <v>23</v>
      </c>
      <c r="H1" s="13" t="s">
        <v>24</v>
      </c>
      <c r="I1" s="13" t="s">
        <v>43</v>
      </c>
    </row>
    <row r="2" spans="1:9" s="22" customFormat="1" ht="30.75" customHeight="1" x14ac:dyDescent="0.2">
      <c r="A2" s="19"/>
      <c r="B2" s="19"/>
      <c r="C2" s="69"/>
      <c r="D2" s="69"/>
      <c r="E2" s="23"/>
      <c r="F2" s="19"/>
      <c r="G2" s="21"/>
      <c r="H2" s="23"/>
      <c r="I2" s="23"/>
    </row>
    <row r="3" spans="1:9" s="22" customFormat="1" ht="25.5" customHeight="1" x14ac:dyDescent="0.2">
      <c r="A3" s="19"/>
      <c r="B3" s="19"/>
      <c r="C3" s="69"/>
      <c r="D3" s="69"/>
      <c r="E3" s="23"/>
      <c r="F3" s="19"/>
      <c r="G3" s="20"/>
      <c r="H3" s="23"/>
      <c r="I3" s="23"/>
    </row>
    <row r="4" spans="1:9" s="22" customFormat="1" ht="27.75" customHeight="1" x14ac:dyDescent="0.2">
      <c r="A4" s="19"/>
      <c r="B4" s="19"/>
      <c r="C4" s="69"/>
      <c r="D4" s="69"/>
      <c r="E4" s="23"/>
      <c r="F4" s="19"/>
      <c r="G4" s="20"/>
      <c r="H4" s="23"/>
      <c r="I4" s="23"/>
    </row>
    <row r="5" spans="1:9" s="22" customFormat="1" ht="24.75" customHeight="1" x14ac:dyDescent="0.2">
      <c r="A5" s="19"/>
      <c r="B5" s="19"/>
      <c r="C5" s="69"/>
      <c r="D5" s="69"/>
      <c r="E5" s="23"/>
      <c r="F5" s="19"/>
      <c r="G5" s="20"/>
      <c r="H5" s="23"/>
      <c r="I5" s="23"/>
    </row>
    <row r="6" spans="1:9" s="22" customFormat="1" ht="27" customHeight="1" x14ac:dyDescent="0.2">
      <c r="A6" s="19"/>
      <c r="B6" s="19"/>
      <c r="C6" s="69"/>
      <c r="D6" s="69"/>
      <c r="E6" s="23"/>
      <c r="F6" s="19"/>
      <c r="G6" s="20"/>
      <c r="H6" s="23"/>
      <c r="I6" s="23"/>
    </row>
    <row r="7" spans="1:9" s="22" customFormat="1" ht="24" customHeight="1" x14ac:dyDescent="0.2">
      <c r="A7" s="19"/>
      <c r="B7" s="19"/>
      <c r="C7" s="69"/>
      <c r="D7" s="69"/>
      <c r="E7" s="23"/>
      <c r="F7" s="19"/>
      <c r="G7" s="20"/>
      <c r="H7" s="23"/>
      <c r="I7" s="23"/>
    </row>
    <row r="8" spans="1:9" s="22" customFormat="1" ht="30.75" customHeight="1" x14ac:dyDescent="0.2">
      <c r="A8" s="19"/>
      <c r="B8" s="19"/>
      <c r="C8" s="69"/>
      <c r="D8" s="69"/>
      <c r="E8" s="23"/>
      <c r="F8" s="19"/>
      <c r="G8" s="21"/>
      <c r="H8" s="23"/>
      <c r="I8" s="23"/>
    </row>
  </sheetData>
  <pageMargins left="0.7" right="0.7" top="0.75" bottom="0.75" header="0.3" footer="0.3"/>
  <pageSetup orientation="portrait" horizontalDpi="4294967292"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228"/>
  <sheetViews>
    <sheetView showGridLines="0" tabSelected="1" workbookViewId="0">
      <selection activeCell="D8" sqref="D8"/>
    </sheetView>
  </sheetViews>
  <sheetFormatPr defaultRowHeight="12.75" x14ac:dyDescent="0.2"/>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1:10" x14ac:dyDescent="0.2">
      <c r="C2" s="141" t="s">
        <v>39</v>
      </c>
      <c r="D2" s="141"/>
      <c r="E2" s="141"/>
    </row>
    <row r="3" spans="1:10" x14ac:dyDescent="0.2">
      <c r="C3" s="142"/>
      <c r="D3" s="142"/>
      <c r="E3" s="142"/>
      <c r="F3" s="27"/>
      <c r="G3" s="27"/>
      <c r="H3" s="27"/>
      <c r="I3" s="27"/>
    </row>
    <row r="4" spans="1:10" s="6" customFormat="1" ht="33.75" customHeight="1" x14ac:dyDescent="0.2">
      <c r="B4" s="2" t="s">
        <v>35</v>
      </c>
      <c r="C4" s="2" t="s">
        <v>38</v>
      </c>
      <c r="D4" s="2" t="s">
        <v>18</v>
      </c>
      <c r="E4" s="2" t="s">
        <v>19</v>
      </c>
      <c r="F4"/>
      <c r="G4" s="143" t="s">
        <v>34</v>
      </c>
      <c r="H4" s="143"/>
      <c r="I4" s="143"/>
      <c r="J4" s="28"/>
    </row>
    <row r="5" spans="1:10" s="6" customFormat="1" ht="15.75" customHeight="1" x14ac:dyDescent="0.2">
      <c r="B5" s="139">
        <v>1</v>
      </c>
      <c r="C5" s="3">
        <v>0</v>
      </c>
      <c r="D5" s="3">
        <f>'Sprint I Backlog'!I3</f>
        <v>0</v>
      </c>
      <c r="E5" s="3">
        <f>E6+E7</f>
        <v>0</v>
      </c>
      <c r="F5"/>
      <c r="G5" s="144"/>
      <c r="H5" s="144"/>
      <c r="I5" s="144"/>
      <c r="J5" s="28"/>
    </row>
    <row r="6" spans="1:10" ht="18.75" customHeight="1" x14ac:dyDescent="0.2">
      <c r="B6" s="140"/>
      <c r="C6" s="3">
        <v>1</v>
      </c>
      <c r="D6" s="3">
        <f>ROUND(D5-(D5/3),2)</f>
        <v>0</v>
      </c>
      <c r="E6" s="26">
        <f>IF(OR(Dashboard!L20="DAY 1"),NA(),'Sprint I Backlog'!J3)</f>
        <v>0</v>
      </c>
      <c r="G6" s="53" t="s">
        <v>35</v>
      </c>
      <c r="H6" s="53" t="s">
        <v>18</v>
      </c>
      <c r="I6" s="53" t="s">
        <v>19</v>
      </c>
      <c r="J6" s="4"/>
    </row>
    <row r="7" spans="1:10" ht="18.75" customHeight="1" x14ac:dyDescent="0.2">
      <c r="B7" s="140"/>
      <c r="C7" s="3">
        <v>2</v>
      </c>
      <c r="D7" s="3">
        <f>ROUND(D6-(D5/3),2)</f>
        <v>0</v>
      </c>
      <c r="E7" s="26">
        <f>IF(OR(Dashboard!L20="DAY 1",Dashboard!L20="DAY 2"),NA(),'Sprint I Backlog'!K3)</f>
        <v>0</v>
      </c>
      <c r="G7" s="54">
        <v>1</v>
      </c>
      <c r="H7" s="54">
        <f>D5</f>
        <v>0</v>
      </c>
      <c r="I7" s="55">
        <f>E5</f>
        <v>0</v>
      </c>
      <c r="J7" s="29"/>
    </row>
    <row r="8" spans="1:10" ht="18.75" customHeight="1" x14ac:dyDescent="0.2">
      <c r="B8" s="140"/>
      <c r="C8" s="74">
        <v>3</v>
      </c>
      <c r="D8" s="74">
        <f>ROUND(D7-(D6/3),2)</f>
        <v>0</v>
      </c>
      <c r="E8" s="26">
        <f>IF(OR(Dashboard!L21="DAY 1",Dashboard!L21="DAY 2"),NA(),'Sprint I Backlog'!K4)</f>
        <v>0</v>
      </c>
      <c r="G8" s="54">
        <v>2</v>
      </c>
      <c r="H8" s="54">
        <f>D14</f>
        <v>0</v>
      </c>
      <c r="I8" s="55">
        <f>E14</f>
        <v>0</v>
      </c>
      <c r="J8" s="29"/>
    </row>
    <row r="9" spans="1:10" ht="18.75" customHeight="1" x14ac:dyDescent="0.2">
      <c r="C9" s="141"/>
      <c r="D9" s="141"/>
      <c r="E9" s="141"/>
      <c r="G9" s="7"/>
      <c r="H9" s="7"/>
      <c r="I9" s="7"/>
      <c r="J9" s="7"/>
    </row>
    <row r="10" spans="1:10" x14ac:dyDescent="0.2">
      <c r="C10" s="141"/>
      <c r="D10" s="141"/>
      <c r="E10" s="141"/>
    </row>
    <row r="11" spans="1:10" x14ac:dyDescent="0.2">
      <c r="C11" s="141" t="s">
        <v>40</v>
      </c>
      <c r="D11" s="141"/>
      <c r="E11" s="141"/>
    </row>
    <row r="12" spans="1:10" x14ac:dyDescent="0.2">
      <c r="C12" s="142"/>
      <c r="D12" s="142"/>
      <c r="E12" s="142"/>
    </row>
    <row r="13" spans="1:10" ht="27" customHeight="1" x14ac:dyDescent="0.2">
      <c r="A13" s="6"/>
      <c r="B13" s="2" t="s">
        <v>35</v>
      </c>
      <c r="C13" s="2" t="s">
        <v>38</v>
      </c>
      <c r="D13" s="2" t="s">
        <v>18</v>
      </c>
      <c r="E13" s="2" t="s">
        <v>19</v>
      </c>
    </row>
    <row r="14" spans="1:10" ht="19.5" customHeight="1" x14ac:dyDescent="0.2">
      <c r="A14" s="6"/>
      <c r="B14" s="139">
        <v>2</v>
      </c>
      <c r="C14" s="3">
        <v>1</v>
      </c>
      <c r="D14" s="3">
        <f>'Sprint II Backlog'!I3</f>
        <v>0</v>
      </c>
      <c r="E14" s="3">
        <f>E15+E16</f>
        <v>0</v>
      </c>
    </row>
    <row r="15" spans="1:10" ht="18" customHeight="1" x14ac:dyDescent="0.2">
      <c r="B15" s="140"/>
      <c r="C15" s="3">
        <v>2</v>
      </c>
      <c r="D15" s="3">
        <f>ROUND(D14-(D14/3),2)</f>
        <v>0</v>
      </c>
      <c r="E15" s="26">
        <f>IF(OR(Dashboard!L20="DAY 1"),NA(),'Sprint II Backlog'!J3)</f>
        <v>0</v>
      </c>
    </row>
    <row r="16" spans="1:10" ht="17.25" customHeight="1" x14ac:dyDescent="0.2">
      <c r="B16" s="140"/>
      <c r="C16" s="3">
        <v>3</v>
      </c>
      <c r="D16" s="3">
        <f>ROUND(D15-(D14/3),2)</f>
        <v>0</v>
      </c>
      <c r="E16" s="26">
        <f>IF(OR(Dashboard!L20="DAY 1",Dashboard!L20="DAY 2"),NA(),'Sprint II Backlog'!K3)</f>
        <v>0</v>
      </c>
    </row>
    <row r="17" spans="2:10" ht="20.25" customHeight="1" x14ac:dyDescent="0.2">
      <c r="B17" s="140"/>
      <c r="C17" s="74">
        <v>4</v>
      </c>
      <c r="D17" s="74">
        <f>ROUND(D16-(D15/3),2)</f>
        <v>0</v>
      </c>
      <c r="E17" s="26">
        <f>IF(OR(Dashboard!L21="DAY 1",Dashboard!L21="DAY 2"),NA(),'Sprint II Backlog'!K4)</f>
        <v>0</v>
      </c>
    </row>
    <row r="18" spans="2:10" x14ac:dyDescent="0.2">
      <c r="C18" s="141"/>
      <c r="D18" s="141"/>
      <c r="E18" s="141"/>
      <c r="F18" s="7"/>
      <c r="G18" s="7"/>
      <c r="H18" s="7"/>
      <c r="I18" s="7"/>
      <c r="J18" s="7"/>
    </row>
    <row r="19" spans="2:10" x14ac:dyDescent="0.2">
      <c r="C19" s="141"/>
      <c r="D19" s="141"/>
      <c r="E19" s="141"/>
      <c r="F19" s="7"/>
      <c r="G19" s="7"/>
      <c r="H19" s="7"/>
      <c r="I19" s="7"/>
      <c r="J19" s="7"/>
    </row>
    <row r="20" spans="2:10" x14ac:dyDescent="0.2">
      <c r="G20" s="7"/>
      <c r="H20" s="7"/>
      <c r="I20" s="7"/>
      <c r="J20" s="7"/>
    </row>
    <row r="26" spans="2:10" x14ac:dyDescent="0.2">
      <c r="F26" s="7"/>
      <c r="G26" s="7"/>
      <c r="H26" s="7"/>
      <c r="I26" s="7"/>
      <c r="J26" s="7"/>
    </row>
    <row r="27" spans="2:10" x14ac:dyDescent="0.2">
      <c r="F27" s="7"/>
      <c r="G27" s="7"/>
      <c r="H27" s="7"/>
      <c r="I27" s="7"/>
      <c r="J27" s="7"/>
    </row>
    <row r="28" spans="2:10" x14ac:dyDescent="0.2">
      <c r="F28" s="7"/>
      <c r="G28" s="7"/>
      <c r="H28" s="7"/>
      <c r="I28" s="7"/>
      <c r="J28" s="7"/>
    </row>
    <row r="29" spans="2:10" x14ac:dyDescent="0.2">
      <c r="F29" s="7"/>
      <c r="G29" s="7"/>
      <c r="H29" s="7"/>
      <c r="I29" s="7"/>
      <c r="J29" s="7"/>
    </row>
    <row r="30" spans="2:10" x14ac:dyDescent="0.2">
      <c r="F30" s="7"/>
      <c r="G30" s="7"/>
      <c r="H30" s="7"/>
      <c r="I30" s="7"/>
      <c r="J30" s="7"/>
    </row>
    <row r="31" spans="2:10" x14ac:dyDescent="0.2">
      <c r="F31" s="7"/>
      <c r="G31" s="7"/>
      <c r="H31" s="7"/>
      <c r="I31" s="7"/>
      <c r="J31" s="7"/>
    </row>
    <row r="32" spans="2:10" x14ac:dyDescent="0.2">
      <c r="F32" s="7"/>
      <c r="G32" s="7"/>
      <c r="H32" s="7"/>
      <c r="I32" s="7"/>
      <c r="J32" s="7"/>
    </row>
    <row r="33" spans="6:10" x14ac:dyDescent="0.2">
      <c r="F33" s="7"/>
      <c r="G33" s="7"/>
      <c r="H33" s="7"/>
      <c r="I33" s="7"/>
      <c r="J33" s="7"/>
    </row>
    <row r="34" spans="6:10" x14ac:dyDescent="0.2">
      <c r="F34" s="7"/>
      <c r="G34" s="7"/>
      <c r="H34" s="7"/>
      <c r="I34" s="7"/>
      <c r="J34" s="7"/>
    </row>
    <row r="35" spans="6:10" x14ac:dyDescent="0.2">
      <c r="F35" s="7"/>
      <c r="G35" s="7"/>
      <c r="H35" s="7"/>
      <c r="I35" s="7"/>
      <c r="J35" s="7"/>
    </row>
    <row r="36" spans="6:10" x14ac:dyDescent="0.2">
      <c r="F36" s="7"/>
      <c r="G36" s="7"/>
      <c r="H36" s="7"/>
      <c r="I36" s="7"/>
      <c r="J36" s="7"/>
    </row>
    <row r="37" spans="6:10" x14ac:dyDescent="0.2">
      <c r="F37" s="7"/>
      <c r="G37" s="7"/>
      <c r="H37" s="7"/>
      <c r="I37" s="7"/>
      <c r="J37" s="7"/>
    </row>
    <row r="38" spans="6:10" x14ac:dyDescent="0.2">
      <c r="F38" s="7"/>
      <c r="G38" s="7"/>
      <c r="H38" s="7"/>
      <c r="I38" s="7"/>
      <c r="J38" s="7"/>
    </row>
    <row r="39" spans="6:10" x14ac:dyDescent="0.2">
      <c r="F39" s="7"/>
      <c r="G39" s="7"/>
      <c r="H39" s="7"/>
      <c r="I39" s="7"/>
      <c r="J39" s="7"/>
    </row>
    <row r="40" spans="6:10" x14ac:dyDescent="0.2">
      <c r="F40" s="7"/>
      <c r="G40" s="7"/>
      <c r="H40" s="7"/>
      <c r="I40" s="7"/>
      <c r="J40" s="7"/>
    </row>
    <row r="41" spans="6:10" x14ac:dyDescent="0.2">
      <c r="F41" s="7"/>
      <c r="G41" s="7"/>
      <c r="H41" s="7"/>
      <c r="I41" s="7"/>
      <c r="J41" s="7"/>
    </row>
    <row r="42" spans="6:10" x14ac:dyDescent="0.2">
      <c r="F42" s="7"/>
      <c r="G42" s="7"/>
      <c r="H42" s="7"/>
      <c r="I42" s="7"/>
      <c r="J42" s="7"/>
    </row>
    <row r="43" spans="6:10" x14ac:dyDescent="0.2">
      <c r="F43" s="7"/>
      <c r="G43" s="7"/>
      <c r="H43" s="7"/>
      <c r="I43" s="7"/>
      <c r="J43" s="7"/>
    </row>
    <row r="44" spans="6:10" x14ac:dyDescent="0.2">
      <c r="F44" s="7"/>
      <c r="G44" s="7"/>
      <c r="H44" s="7"/>
      <c r="I44" s="7"/>
      <c r="J44" s="7"/>
    </row>
    <row r="45" spans="6:10" x14ac:dyDescent="0.2">
      <c r="F45" s="7"/>
      <c r="G45" s="7"/>
      <c r="H45" s="7"/>
      <c r="I45" s="7"/>
      <c r="J45" s="7"/>
    </row>
    <row r="46" spans="6:10" x14ac:dyDescent="0.2">
      <c r="F46" s="7"/>
      <c r="G46" s="7"/>
      <c r="H46" s="7"/>
      <c r="I46" s="7"/>
      <c r="J46" s="7"/>
    </row>
    <row r="47" spans="6:10" x14ac:dyDescent="0.2">
      <c r="F47" s="7"/>
      <c r="G47" s="7"/>
      <c r="H47" s="7"/>
      <c r="I47" s="7"/>
      <c r="J47" s="7"/>
    </row>
    <row r="48" spans="6:10" x14ac:dyDescent="0.2">
      <c r="F48" s="7"/>
      <c r="G48" s="7"/>
      <c r="H48" s="7"/>
      <c r="I48" s="7"/>
      <c r="J48" s="7"/>
    </row>
    <row r="49" spans="6:10" x14ac:dyDescent="0.2">
      <c r="F49" s="7"/>
      <c r="G49" s="7"/>
      <c r="H49" s="7"/>
      <c r="I49" s="7"/>
      <c r="J49" s="7"/>
    </row>
    <row r="50" spans="6:10" x14ac:dyDescent="0.2">
      <c r="F50" s="7"/>
      <c r="G50" s="7"/>
      <c r="H50" s="7"/>
      <c r="I50" s="7"/>
      <c r="J50" s="7"/>
    </row>
    <row r="51" spans="6:10" x14ac:dyDescent="0.2">
      <c r="F51" s="7"/>
      <c r="G51" s="7"/>
      <c r="H51" s="7"/>
      <c r="I51" s="7"/>
      <c r="J51" s="7"/>
    </row>
    <row r="52" spans="6:10" x14ac:dyDescent="0.2">
      <c r="F52" s="7"/>
      <c r="G52" s="7"/>
      <c r="H52" s="7"/>
      <c r="I52" s="7"/>
      <c r="J52" s="7"/>
    </row>
    <row r="53" spans="6:10" x14ac:dyDescent="0.2">
      <c r="F53" s="7"/>
      <c r="G53" s="7"/>
      <c r="H53" s="7"/>
      <c r="I53" s="7"/>
      <c r="J53" s="7"/>
    </row>
    <row r="54" spans="6:10" x14ac:dyDescent="0.2">
      <c r="F54" s="7"/>
      <c r="G54" s="7"/>
      <c r="H54" s="7"/>
      <c r="I54" s="7"/>
      <c r="J54" s="7"/>
    </row>
    <row r="55" spans="6:10" x14ac:dyDescent="0.2">
      <c r="F55" s="7"/>
      <c r="G55" s="7"/>
      <c r="H55" s="7"/>
      <c r="I55" s="7"/>
      <c r="J55" s="7"/>
    </row>
    <row r="56" spans="6:10" x14ac:dyDescent="0.2">
      <c r="F56" s="7"/>
      <c r="G56" s="7"/>
      <c r="H56" s="7"/>
      <c r="I56" s="7"/>
      <c r="J56" s="7"/>
    </row>
    <row r="57" spans="6:10" x14ac:dyDescent="0.2">
      <c r="F57" s="7"/>
      <c r="G57" s="7"/>
      <c r="H57" s="7"/>
      <c r="I57" s="7"/>
      <c r="J57" s="7"/>
    </row>
    <row r="58" spans="6:10" x14ac:dyDescent="0.2">
      <c r="F58" s="7"/>
      <c r="G58" s="7"/>
      <c r="H58" s="7"/>
      <c r="I58" s="7"/>
      <c r="J58" s="7"/>
    </row>
    <row r="59" spans="6:10" x14ac:dyDescent="0.2">
      <c r="F59" s="7"/>
      <c r="G59" s="7"/>
      <c r="H59" s="7"/>
      <c r="I59" s="7"/>
      <c r="J59" s="7"/>
    </row>
    <row r="60" spans="6:10" x14ac:dyDescent="0.2">
      <c r="F60" s="7"/>
      <c r="G60" s="7"/>
      <c r="H60" s="7"/>
      <c r="I60" s="7"/>
      <c r="J60" s="7"/>
    </row>
    <row r="61" spans="6:10" x14ac:dyDescent="0.2">
      <c r="F61" s="7"/>
      <c r="G61" s="7"/>
      <c r="H61" s="7"/>
      <c r="I61" s="7"/>
      <c r="J61" s="7"/>
    </row>
    <row r="62" spans="6:10" x14ac:dyDescent="0.2">
      <c r="F62" s="7"/>
      <c r="G62" s="7"/>
      <c r="H62" s="7"/>
      <c r="I62" s="7"/>
      <c r="J62" s="7"/>
    </row>
    <row r="63" spans="6:10" x14ac:dyDescent="0.2">
      <c r="F63" s="7"/>
      <c r="G63" s="7"/>
      <c r="H63" s="7"/>
      <c r="I63" s="7"/>
      <c r="J63" s="7"/>
    </row>
    <row r="64" spans="6:10" x14ac:dyDescent="0.2">
      <c r="F64" s="7"/>
      <c r="G64" s="7"/>
      <c r="H64" s="7"/>
      <c r="I64" s="7"/>
      <c r="J64" s="7"/>
    </row>
    <row r="65" spans="6:10" x14ac:dyDescent="0.2">
      <c r="F65" s="7"/>
      <c r="G65" s="7"/>
      <c r="H65" s="7"/>
      <c r="I65" s="7"/>
      <c r="J65" s="7"/>
    </row>
    <row r="66" spans="6:10" x14ac:dyDescent="0.2">
      <c r="F66" s="7"/>
      <c r="G66" s="7"/>
      <c r="H66" s="7"/>
      <c r="I66" s="7"/>
      <c r="J66" s="7"/>
    </row>
    <row r="67" spans="6:10" x14ac:dyDescent="0.2">
      <c r="F67" s="7"/>
      <c r="G67" s="7"/>
      <c r="H67" s="7"/>
      <c r="I67" s="7"/>
      <c r="J67" s="7"/>
    </row>
    <row r="68" spans="6:10" x14ac:dyDescent="0.2">
      <c r="F68" s="7"/>
      <c r="G68" s="7"/>
      <c r="H68" s="7"/>
      <c r="I68" s="7"/>
      <c r="J68" s="7"/>
    </row>
    <row r="69" spans="6:10" x14ac:dyDescent="0.2">
      <c r="F69" s="7"/>
      <c r="G69" s="7"/>
      <c r="H69" s="7"/>
      <c r="I69" s="7"/>
      <c r="J69" s="7"/>
    </row>
    <row r="70" spans="6:10" x14ac:dyDescent="0.2">
      <c r="F70" s="7"/>
      <c r="G70" s="7"/>
      <c r="H70" s="7"/>
      <c r="I70" s="7"/>
      <c r="J70" s="7"/>
    </row>
    <row r="71" spans="6:10" x14ac:dyDescent="0.2">
      <c r="F71" s="7"/>
      <c r="G71" s="7"/>
      <c r="H71" s="7"/>
      <c r="I71" s="7"/>
      <c r="J71" s="7"/>
    </row>
    <row r="72" spans="6:10" x14ac:dyDescent="0.2">
      <c r="F72" s="7"/>
      <c r="G72" s="7"/>
      <c r="H72" s="7"/>
      <c r="I72" s="7"/>
      <c r="J72" s="7"/>
    </row>
    <row r="73" spans="6:10" x14ac:dyDescent="0.2">
      <c r="F73" s="7"/>
      <c r="G73" s="7"/>
      <c r="H73" s="7"/>
      <c r="I73" s="7"/>
      <c r="J73" s="7"/>
    </row>
    <row r="74" spans="6:10" x14ac:dyDescent="0.2">
      <c r="F74" s="7"/>
      <c r="G74" s="7"/>
      <c r="H74" s="7"/>
      <c r="I74" s="7"/>
      <c r="J74" s="7"/>
    </row>
    <row r="75" spans="6:10" x14ac:dyDescent="0.2">
      <c r="F75" s="7"/>
      <c r="G75" s="7"/>
      <c r="H75" s="7"/>
      <c r="I75" s="7"/>
      <c r="J75" s="7"/>
    </row>
    <row r="76" spans="6:10" x14ac:dyDescent="0.2">
      <c r="F76" s="7"/>
      <c r="G76" s="7"/>
      <c r="H76" s="7"/>
      <c r="I76" s="7"/>
      <c r="J76" s="7"/>
    </row>
    <row r="77" spans="6:10" x14ac:dyDescent="0.2">
      <c r="F77" s="7"/>
      <c r="G77" s="7"/>
      <c r="H77" s="7"/>
      <c r="I77" s="7"/>
      <c r="J77" s="7"/>
    </row>
    <row r="78" spans="6:10" x14ac:dyDescent="0.2">
      <c r="F78" s="7"/>
      <c r="G78" s="7"/>
      <c r="H78" s="7"/>
      <c r="I78" s="7"/>
      <c r="J78" s="7"/>
    </row>
    <row r="79" spans="6:10" x14ac:dyDescent="0.2">
      <c r="F79" s="7"/>
      <c r="G79" s="7"/>
      <c r="H79" s="7"/>
      <c r="I79" s="7"/>
      <c r="J79" s="7"/>
    </row>
    <row r="80" spans="6:10" x14ac:dyDescent="0.2">
      <c r="F80" s="7"/>
      <c r="G80" s="7"/>
      <c r="H80" s="7"/>
      <c r="I80" s="7"/>
      <c r="J80" s="7"/>
    </row>
    <row r="81" spans="6:10" x14ac:dyDescent="0.2">
      <c r="F81" s="7"/>
      <c r="G81" s="7"/>
      <c r="H81" s="7"/>
      <c r="I81" s="7"/>
      <c r="J81" s="7"/>
    </row>
    <row r="82" spans="6:10" x14ac:dyDescent="0.2">
      <c r="F82" s="7"/>
      <c r="G82" s="7"/>
      <c r="H82" s="7"/>
      <c r="I82" s="7"/>
      <c r="J82" s="7"/>
    </row>
    <row r="83" spans="6:10" x14ac:dyDescent="0.2">
      <c r="F83" s="7"/>
      <c r="G83" s="7"/>
      <c r="H83" s="7"/>
      <c r="I83" s="7"/>
      <c r="J83" s="7"/>
    </row>
    <row r="84" spans="6:10" x14ac:dyDescent="0.2">
      <c r="F84" s="7"/>
      <c r="G84" s="7"/>
      <c r="H84" s="7"/>
      <c r="I84" s="7"/>
      <c r="J84" s="7"/>
    </row>
    <row r="85" spans="6:10" x14ac:dyDescent="0.2">
      <c r="F85" s="7"/>
      <c r="G85" s="7"/>
      <c r="H85" s="7"/>
      <c r="I85" s="7"/>
      <c r="J85" s="7"/>
    </row>
    <row r="86" spans="6:10" x14ac:dyDescent="0.2">
      <c r="F86" s="7"/>
      <c r="G86" s="7"/>
      <c r="H86" s="7"/>
      <c r="I86" s="7"/>
      <c r="J86" s="7"/>
    </row>
    <row r="87" spans="6:10" x14ac:dyDescent="0.2">
      <c r="F87" s="7"/>
      <c r="G87" s="7"/>
      <c r="H87" s="7"/>
      <c r="I87" s="7"/>
      <c r="J87" s="7"/>
    </row>
    <row r="88" spans="6:10" x14ac:dyDescent="0.2">
      <c r="F88" s="7"/>
      <c r="G88" s="7"/>
      <c r="H88" s="7"/>
      <c r="I88" s="7"/>
      <c r="J88" s="7"/>
    </row>
    <row r="89" spans="6:10" x14ac:dyDescent="0.2">
      <c r="F89" s="7"/>
      <c r="G89" s="7"/>
      <c r="H89" s="7"/>
      <c r="I89" s="7"/>
      <c r="J89" s="7"/>
    </row>
    <row r="90" spans="6:10" x14ac:dyDescent="0.2">
      <c r="F90" s="7"/>
      <c r="G90" s="7"/>
      <c r="H90" s="7"/>
      <c r="I90" s="7"/>
      <c r="J90" s="7"/>
    </row>
    <row r="91" spans="6:10" x14ac:dyDescent="0.2">
      <c r="F91" s="7"/>
      <c r="G91" s="7"/>
      <c r="H91" s="7"/>
      <c r="I91" s="7"/>
      <c r="J91" s="7"/>
    </row>
    <row r="92" spans="6:10" x14ac:dyDescent="0.2">
      <c r="F92" s="7"/>
      <c r="G92" s="7"/>
      <c r="H92" s="7"/>
      <c r="I92" s="7"/>
      <c r="J92" s="7"/>
    </row>
    <row r="93" spans="6:10" x14ac:dyDescent="0.2">
      <c r="F93" s="7"/>
      <c r="G93" s="7"/>
      <c r="H93" s="7"/>
      <c r="I93" s="7"/>
      <c r="J93" s="7"/>
    </row>
    <row r="94" spans="6:10" x14ac:dyDescent="0.2">
      <c r="F94" s="7"/>
      <c r="G94" s="7"/>
      <c r="H94" s="7"/>
      <c r="I94" s="7"/>
      <c r="J94" s="7"/>
    </row>
    <row r="95" spans="6:10" x14ac:dyDescent="0.2">
      <c r="F95" s="7"/>
      <c r="G95" s="7"/>
      <c r="H95" s="7"/>
      <c r="I95" s="7"/>
      <c r="J95" s="7"/>
    </row>
    <row r="96" spans="6:10" x14ac:dyDescent="0.2">
      <c r="F96" s="7"/>
      <c r="G96" s="7"/>
      <c r="H96" s="7"/>
      <c r="I96" s="7"/>
      <c r="J96" s="7"/>
    </row>
    <row r="97" spans="6:10" x14ac:dyDescent="0.2">
      <c r="F97" s="7"/>
      <c r="G97" s="7"/>
      <c r="H97" s="7"/>
      <c r="I97" s="7"/>
      <c r="J97" s="7"/>
    </row>
    <row r="98" spans="6:10" x14ac:dyDescent="0.2">
      <c r="F98" s="7"/>
      <c r="G98" s="7"/>
      <c r="H98" s="7"/>
      <c r="I98" s="7"/>
      <c r="J98" s="7"/>
    </row>
    <row r="99" spans="6:10" x14ac:dyDescent="0.2">
      <c r="F99" s="7"/>
      <c r="G99" s="7"/>
      <c r="H99" s="7"/>
      <c r="I99" s="7"/>
      <c r="J99" s="7"/>
    </row>
    <row r="100" spans="6:10" x14ac:dyDescent="0.2">
      <c r="F100" s="7"/>
      <c r="G100" s="7"/>
      <c r="H100" s="7"/>
      <c r="I100" s="7"/>
      <c r="J100" s="7"/>
    </row>
    <row r="101" spans="6:10" x14ac:dyDescent="0.2">
      <c r="F101" s="7"/>
      <c r="G101" s="7"/>
      <c r="H101" s="7"/>
      <c r="I101" s="7"/>
      <c r="J101" s="7"/>
    </row>
    <row r="102" spans="6:10" x14ac:dyDescent="0.2">
      <c r="F102" s="7"/>
      <c r="G102" s="7"/>
      <c r="H102" s="7"/>
      <c r="I102" s="7"/>
      <c r="J102" s="7"/>
    </row>
    <row r="103" spans="6:10" x14ac:dyDescent="0.2">
      <c r="F103" s="7"/>
      <c r="G103" s="7"/>
      <c r="H103" s="7"/>
      <c r="I103" s="7"/>
      <c r="J103" s="7"/>
    </row>
    <row r="104" spans="6:10" x14ac:dyDescent="0.2">
      <c r="F104" s="7"/>
      <c r="G104" s="7"/>
      <c r="H104" s="7"/>
      <c r="I104" s="7"/>
      <c r="J104" s="7"/>
    </row>
    <row r="105" spans="6:10" x14ac:dyDescent="0.2">
      <c r="F105" s="7"/>
      <c r="G105" s="7"/>
      <c r="H105" s="7"/>
      <c r="I105" s="7"/>
      <c r="J105" s="7"/>
    </row>
    <row r="106" spans="6:10" x14ac:dyDescent="0.2">
      <c r="F106" s="7"/>
      <c r="G106" s="7"/>
      <c r="H106" s="7"/>
      <c r="I106" s="7"/>
      <c r="J106" s="7"/>
    </row>
    <row r="107" spans="6:10" x14ac:dyDescent="0.2">
      <c r="F107" s="7"/>
      <c r="G107" s="7"/>
      <c r="H107" s="7"/>
      <c r="I107" s="7"/>
      <c r="J107" s="7"/>
    </row>
    <row r="108" spans="6:10" x14ac:dyDescent="0.2">
      <c r="F108" s="7"/>
      <c r="G108" s="7"/>
      <c r="H108" s="7"/>
      <c r="I108" s="7"/>
      <c r="J108" s="7"/>
    </row>
    <row r="109" spans="6:10" x14ac:dyDescent="0.2">
      <c r="F109" s="7"/>
      <c r="G109" s="7"/>
      <c r="H109" s="7"/>
      <c r="I109" s="7"/>
      <c r="J109" s="7"/>
    </row>
    <row r="110" spans="6:10" x14ac:dyDescent="0.2">
      <c r="F110" s="7"/>
      <c r="G110" s="7"/>
      <c r="H110" s="7"/>
      <c r="I110" s="7"/>
      <c r="J110" s="7"/>
    </row>
    <row r="111" spans="6:10" x14ac:dyDescent="0.2">
      <c r="F111" s="7"/>
      <c r="G111" s="7"/>
      <c r="H111" s="7"/>
      <c r="I111" s="7"/>
      <c r="J111" s="7"/>
    </row>
    <row r="112" spans="6:10" x14ac:dyDescent="0.2">
      <c r="F112" s="7"/>
      <c r="G112" s="7"/>
      <c r="H112" s="7"/>
      <c r="I112" s="7"/>
      <c r="J112" s="7"/>
    </row>
    <row r="113" spans="6:10" x14ac:dyDescent="0.2">
      <c r="F113" s="7"/>
      <c r="G113" s="7"/>
      <c r="H113" s="7"/>
      <c r="I113" s="7"/>
      <c r="J113" s="7"/>
    </row>
    <row r="114" spans="6:10" x14ac:dyDescent="0.2">
      <c r="F114" s="7"/>
      <c r="G114" s="7"/>
      <c r="H114" s="7"/>
      <c r="I114" s="7"/>
      <c r="J114" s="7"/>
    </row>
    <row r="115" spans="6:10" x14ac:dyDescent="0.2">
      <c r="F115" s="7"/>
      <c r="G115" s="7"/>
      <c r="H115" s="7"/>
      <c r="I115" s="7"/>
      <c r="J115" s="7"/>
    </row>
    <row r="116" spans="6:10" x14ac:dyDescent="0.2">
      <c r="F116" s="7"/>
      <c r="G116" s="7"/>
      <c r="H116" s="7"/>
      <c r="I116" s="7"/>
      <c r="J116" s="7"/>
    </row>
    <row r="117" spans="6:10" x14ac:dyDescent="0.2">
      <c r="F117" s="7"/>
      <c r="G117" s="7"/>
      <c r="H117" s="7"/>
      <c r="I117" s="7"/>
      <c r="J117" s="7"/>
    </row>
    <row r="118" spans="6:10" x14ac:dyDescent="0.2">
      <c r="F118" s="7"/>
      <c r="G118" s="7"/>
      <c r="H118" s="7"/>
      <c r="I118" s="7"/>
      <c r="J118" s="7"/>
    </row>
    <row r="119" spans="6:10" x14ac:dyDescent="0.2">
      <c r="F119" s="7"/>
      <c r="G119" s="7"/>
      <c r="H119" s="7"/>
      <c r="I119" s="7"/>
      <c r="J119" s="7"/>
    </row>
    <row r="120" spans="6:10" x14ac:dyDescent="0.2">
      <c r="F120" s="7"/>
      <c r="G120" s="7"/>
      <c r="H120" s="7"/>
      <c r="I120" s="7"/>
      <c r="J120" s="7"/>
    </row>
    <row r="121" spans="6:10" x14ac:dyDescent="0.2">
      <c r="F121" s="7"/>
      <c r="G121" s="7"/>
      <c r="H121" s="7"/>
      <c r="I121" s="7"/>
      <c r="J121" s="7"/>
    </row>
    <row r="122" spans="6:10" x14ac:dyDescent="0.2">
      <c r="F122" s="7"/>
      <c r="G122" s="7"/>
      <c r="H122" s="7"/>
      <c r="I122" s="7"/>
      <c r="J122" s="7"/>
    </row>
    <row r="123" spans="6:10" x14ac:dyDescent="0.2">
      <c r="F123" s="7"/>
      <c r="G123" s="7"/>
      <c r="H123" s="7"/>
      <c r="I123" s="7"/>
      <c r="J123" s="7"/>
    </row>
    <row r="124" spans="6:10" x14ac:dyDescent="0.2">
      <c r="F124" s="7"/>
      <c r="G124" s="7"/>
      <c r="H124" s="7"/>
      <c r="I124" s="7"/>
      <c r="J124" s="7"/>
    </row>
    <row r="125" spans="6:10" x14ac:dyDescent="0.2">
      <c r="F125" s="7"/>
      <c r="G125" s="7"/>
      <c r="H125" s="7"/>
      <c r="I125" s="7"/>
      <c r="J125" s="7"/>
    </row>
    <row r="126" spans="6:10" x14ac:dyDescent="0.2">
      <c r="F126" s="7"/>
      <c r="G126" s="7"/>
      <c r="H126" s="7"/>
      <c r="I126" s="7"/>
      <c r="J126" s="7"/>
    </row>
    <row r="127" spans="6:10" x14ac:dyDescent="0.2">
      <c r="F127" s="7"/>
      <c r="G127" s="7"/>
      <c r="H127" s="7"/>
      <c r="I127" s="7"/>
      <c r="J127" s="7"/>
    </row>
    <row r="128" spans="6:10" x14ac:dyDescent="0.2">
      <c r="F128" s="7"/>
      <c r="G128" s="7"/>
      <c r="H128" s="7"/>
      <c r="I128" s="7"/>
      <c r="J128" s="7"/>
    </row>
    <row r="129" spans="6:10" x14ac:dyDescent="0.2">
      <c r="F129" s="7"/>
      <c r="G129" s="7"/>
      <c r="H129" s="7"/>
      <c r="I129" s="7"/>
      <c r="J129" s="7"/>
    </row>
    <row r="130" spans="6:10" x14ac:dyDescent="0.2">
      <c r="F130" s="7"/>
      <c r="G130" s="7"/>
      <c r="H130" s="7"/>
      <c r="I130" s="7"/>
      <c r="J130" s="7"/>
    </row>
    <row r="131" spans="6:10" x14ac:dyDescent="0.2">
      <c r="F131" s="7"/>
      <c r="G131" s="7"/>
      <c r="H131" s="7"/>
      <c r="I131" s="7"/>
      <c r="J131" s="7"/>
    </row>
    <row r="132" spans="6:10" x14ac:dyDescent="0.2">
      <c r="F132" s="7"/>
      <c r="G132" s="7"/>
      <c r="H132" s="7"/>
      <c r="I132" s="7"/>
      <c r="J132" s="7"/>
    </row>
    <row r="133" spans="6:10" x14ac:dyDescent="0.2">
      <c r="F133" s="7"/>
      <c r="G133" s="7"/>
      <c r="H133" s="7"/>
      <c r="I133" s="7"/>
      <c r="J133" s="7"/>
    </row>
    <row r="134" spans="6:10" x14ac:dyDescent="0.2">
      <c r="F134" s="7"/>
      <c r="G134" s="7"/>
      <c r="H134" s="7"/>
      <c r="I134" s="7"/>
      <c r="J134" s="7"/>
    </row>
    <row r="135" spans="6:10" x14ac:dyDescent="0.2">
      <c r="F135" s="7"/>
      <c r="G135" s="7"/>
      <c r="H135" s="7"/>
      <c r="I135" s="7"/>
      <c r="J135" s="7"/>
    </row>
    <row r="136" spans="6:10" x14ac:dyDescent="0.2">
      <c r="F136" s="7"/>
      <c r="G136" s="7"/>
      <c r="H136" s="7"/>
      <c r="I136" s="7"/>
      <c r="J136" s="7"/>
    </row>
    <row r="137" spans="6:10" x14ac:dyDescent="0.2">
      <c r="F137" s="7"/>
      <c r="G137" s="7"/>
      <c r="H137" s="7"/>
      <c r="I137" s="7"/>
      <c r="J137" s="7"/>
    </row>
    <row r="138" spans="6:10" x14ac:dyDescent="0.2">
      <c r="F138" s="7"/>
      <c r="G138" s="7"/>
      <c r="H138" s="7"/>
      <c r="I138" s="7"/>
      <c r="J138" s="7"/>
    </row>
    <row r="139" spans="6:10" x14ac:dyDescent="0.2">
      <c r="F139" s="7"/>
      <c r="G139" s="7"/>
      <c r="H139" s="7"/>
      <c r="I139" s="7"/>
      <c r="J139" s="7"/>
    </row>
    <row r="140" spans="6:10" x14ac:dyDescent="0.2">
      <c r="F140" s="7"/>
      <c r="G140" s="7"/>
      <c r="H140" s="7"/>
      <c r="I140" s="7"/>
      <c r="J140" s="7"/>
    </row>
    <row r="141" spans="6:10" x14ac:dyDescent="0.2">
      <c r="F141" s="7"/>
      <c r="G141" s="7"/>
      <c r="H141" s="7"/>
      <c r="I141" s="7"/>
      <c r="J141" s="7"/>
    </row>
    <row r="142" spans="6:10" x14ac:dyDescent="0.2">
      <c r="F142" s="7"/>
      <c r="G142" s="7"/>
      <c r="H142" s="7"/>
      <c r="I142" s="7"/>
      <c r="J142" s="7"/>
    </row>
    <row r="143" spans="6:10" x14ac:dyDescent="0.2">
      <c r="F143" s="7"/>
      <c r="G143" s="7"/>
      <c r="H143" s="7"/>
      <c r="I143" s="7"/>
      <c r="J143" s="7"/>
    </row>
    <row r="144" spans="6:10" x14ac:dyDescent="0.2">
      <c r="F144" s="7"/>
      <c r="G144" s="7"/>
      <c r="H144" s="7"/>
      <c r="I144" s="7"/>
      <c r="J144" s="7"/>
    </row>
    <row r="145" spans="6:10" x14ac:dyDescent="0.2">
      <c r="F145" s="7"/>
      <c r="G145" s="7"/>
      <c r="H145" s="7"/>
      <c r="I145" s="7"/>
      <c r="J145" s="7"/>
    </row>
    <row r="146" spans="6:10" x14ac:dyDescent="0.2">
      <c r="F146" s="7"/>
      <c r="G146" s="7"/>
      <c r="H146" s="7"/>
      <c r="I146" s="7"/>
      <c r="J146" s="7"/>
    </row>
    <row r="147" spans="6:10" x14ac:dyDescent="0.2">
      <c r="F147" s="7"/>
      <c r="G147" s="7"/>
      <c r="H147" s="7"/>
      <c r="I147" s="7"/>
      <c r="J147" s="7"/>
    </row>
    <row r="148" spans="6:10" x14ac:dyDescent="0.2">
      <c r="F148" s="7"/>
      <c r="G148" s="7"/>
      <c r="H148" s="7"/>
      <c r="I148" s="7"/>
      <c r="J148" s="7"/>
    </row>
    <row r="149" spans="6:10" x14ac:dyDescent="0.2">
      <c r="F149" s="7"/>
      <c r="G149" s="7"/>
      <c r="H149" s="7"/>
      <c r="I149" s="7"/>
      <c r="J149" s="7"/>
    </row>
    <row r="150" spans="6:10" x14ac:dyDescent="0.2">
      <c r="F150" s="7"/>
      <c r="G150" s="7"/>
      <c r="H150" s="7"/>
      <c r="I150" s="7"/>
      <c r="J150" s="7"/>
    </row>
    <row r="151" spans="6:10" x14ac:dyDescent="0.2">
      <c r="F151" s="7"/>
      <c r="G151" s="7"/>
      <c r="H151" s="7"/>
      <c r="I151" s="7"/>
      <c r="J151" s="7"/>
    </row>
    <row r="152" spans="6:10" x14ac:dyDescent="0.2">
      <c r="F152" s="7"/>
      <c r="G152" s="7"/>
      <c r="H152" s="7"/>
      <c r="I152" s="7"/>
      <c r="J152" s="7"/>
    </row>
    <row r="153" spans="6:10" x14ac:dyDescent="0.2">
      <c r="F153" s="7"/>
      <c r="G153" s="7"/>
      <c r="H153" s="7"/>
      <c r="I153" s="7"/>
      <c r="J153" s="7"/>
    </row>
    <row r="154" spans="6:10" x14ac:dyDescent="0.2">
      <c r="F154" s="7"/>
      <c r="G154" s="7"/>
      <c r="H154" s="7"/>
      <c r="I154" s="7"/>
      <c r="J154" s="7"/>
    </row>
    <row r="155" spans="6:10" x14ac:dyDescent="0.2">
      <c r="F155" s="7"/>
      <c r="G155" s="7"/>
      <c r="H155" s="7"/>
      <c r="I155" s="7"/>
      <c r="J155" s="7"/>
    </row>
    <row r="156" spans="6:10" x14ac:dyDescent="0.2">
      <c r="F156" s="7"/>
      <c r="G156" s="7"/>
      <c r="H156" s="7"/>
      <c r="I156" s="7"/>
      <c r="J156" s="7"/>
    </row>
    <row r="157" spans="6:10" x14ac:dyDescent="0.2">
      <c r="F157" s="7"/>
      <c r="G157" s="7"/>
      <c r="H157" s="7"/>
      <c r="I157" s="7"/>
      <c r="J157" s="7"/>
    </row>
    <row r="158" spans="6:10" x14ac:dyDescent="0.2">
      <c r="F158" s="7"/>
      <c r="G158" s="7"/>
      <c r="H158" s="7"/>
      <c r="I158" s="7"/>
      <c r="J158" s="7"/>
    </row>
    <row r="159" spans="6:10" x14ac:dyDescent="0.2">
      <c r="F159" s="7"/>
      <c r="G159" s="7"/>
      <c r="H159" s="7"/>
      <c r="I159" s="7"/>
      <c r="J159" s="7"/>
    </row>
    <row r="160" spans="6:10" x14ac:dyDescent="0.2">
      <c r="F160" s="7"/>
      <c r="G160" s="7"/>
      <c r="H160" s="7"/>
      <c r="I160" s="7"/>
      <c r="J160" s="7"/>
    </row>
    <row r="161" spans="6:10" x14ac:dyDescent="0.2">
      <c r="F161" s="7"/>
      <c r="G161" s="7"/>
      <c r="H161" s="7"/>
      <c r="I161" s="7"/>
      <c r="J161" s="7"/>
    </row>
    <row r="162" spans="6:10" x14ac:dyDescent="0.2">
      <c r="F162" s="7"/>
      <c r="G162" s="7"/>
      <c r="H162" s="7"/>
      <c r="I162" s="7"/>
      <c r="J162" s="7"/>
    </row>
    <row r="163" spans="6:10" x14ac:dyDescent="0.2">
      <c r="F163" s="7"/>
      <c r="G163" s="7"/>
      <c r="H163" s="7"/>
      <c r="I163" s="7"/>
      <c r="J163" s="7"/>
    </row>
    <row r="164" spans="6:10" x14ac:dyDescent="0.2">
      <c r="F164" s="7"/>
      <c r="G164" s="7"/>
      <c r="H164" s="7"/>
      <c r="I164" s="7"/>
      <c r="J164" s="7"/>
    </row>
    <row r="165" spans="6:10" x14ac:dyDescent="0.2">
      <c r="F165" s="7"/>
      <c r="G165" s="7"/>
      <c r="H165" s="7"/>
      <c r="I165" s="7"/>
      <c r="J165" s="7"/>
    </row>
    <row r="166" spans="6:10" x14ac:dyDescent="0.2">
      <c r="F166" s="7"/>
      <c r="G166" s="7"/>
      <c r="H166" s="7"/>
      <c r="I166" s="7"/>
      <c r="J166" s="7"/>
    </row>
    <row r="167" spans="6:10" x14ac:dyDescent="0.2">
      <c r="F167" s="7"/>
      <c r="G167" s="7"/>
      <c r="H167" s="7"/>
      <c r="I167" s="7"/>
      <c r="J167" s="7"/>
    </row>
    <row r="168" spans="6:10" x14ac:dyDescent="0.2">
      <c r="F168" s="7"/>
      <c r="G168" s="7"/>
      <c r="H168" s="7"/>
      <c r="I168" s="7"/>
      <c r="J168" s="7"/>
    </row>
    <row r="169" spans="6:10" x14ac:dyDescent="0.2">
      <c r="F169" s="7"/>
      <c r="G169" s="7"/>
      <c r="H169" s="7"/>
      <c r="I169" s="7"/>
      <c r="J169" s="7"/>
    </row>
    <row r="170" spans="6:10" x14ac:dyDescent="0.2">
      <c r="F170" s="7"/>
      <c r="G170" s="7"/>
      <c r="H170" s="7"/>
      <c r="I170" s="7"/>
      <c r="J170" s="7"/>
    </row>
    <row r="171" spans="6:10" x14ac:dyDescent="0.2">
      <c r="F171" s="7"/>
      <c r="G171" s="7"/>
      <c r="H171" s="7"/>
      <c r="I171" s="7"/>
      <c r="J171" s="7"/>
    </row>
    <row r="172" spans="6:10" x14ac:dyDescent="0.2">
      <c r="F172" s="7"/>
      <c r="G172" s="7"/>
      <c r="H172" s="7"/>
      <c r="I172" s="7"/>
      <c r="J172" s="7"/>
    </row>
    <row r="173" spans="6:10" x14ac:dyDescent="0.2">
      <c r="F173" s="7"/>
      <c r="G173" s="7"/>
      <c r="H173" s="7"/>
      <c r="I173" s="7"/>
      <c r="J173" s="7"/>
    </row>
    <row r="174" spans="6:10" x14ac:dyDescent="0.2">
      <c r="F174" s="7"/>
      <c r="G174" s="7"/>
      <c r="H174" s="7"/>
      <c r="I174" s="7"/>
      <c r="J174" s="7"/>
    </row>
    <row r="175" spans="6:10" x14ac:dyDescent="0.2">
      <c r="F175" s="7"/>
      <c r="G175" s="7"/>
      <c r="H175" s="7"/>
      <c r="I175" s="7"/>
      <c r="J175" s="7"/>
    </row>
    <row r="176" spans="6:10" x14ac:dyDescent="0.2">
      <c r="F176" s="7"/>
      <c r="G176" s="7"/>
      <c r="H176" s="7"/>
      <c r="I176" s="7"/>
      <c r="J176" s="7"/>
    </row>
    <row r="177" spans="6:10" x14ac:dyDescent="0.2">
      <c r="F177" s="7"/>
      <c r="G177" s="7"/>
      <c r="H177" s="7"/>
      <c r="I177" s="7"/>
      <c r="J177" s="7"/>
    </row>
    <row r="178" spans="6:10" x14ac:dyDescent="0.2">
      <c r="F178" s="7"/>
      <c r="G178" s="7"/>
      <c r="H178" s="7"/>
      <c r="I178" s="7"/>
      <c r="J178" s="7"/>
    </row>
    <row r="179" spans="6:10" x14ac:dyDescent="0.2">
      <c r="F179" s="7"/>
      <c r="G179" s="7"/>
      <c r="H179" s="7"/>
      <c r="I179" s="7"/>
      <c r="J179" s="7"/>
    </row>
    <row r="180" spans="6:10" x14ac:dyDescent="0.2">
      <c r="F180" s="7"/>
      <c r="G180" s="7"/>
      <c r="H180" s="7"/>
      <c r="I180" s="7"/>
      <c r="J180" s="7"/>
    </row>
    <row r="181" spans="6:10" x14ac:dyDescent="0.2">
      <c r="F181" s="7"/>
      <c r="G181" s="7"/>
      <c r="H181" s="7"/>
      <c r="I181" s="7"/>
      <c r="J181" s="7"/>
    </row>
    <row r="182" spans="6:10" x14ac:dyDescent="0.2">
      <c r="F182" s="7"/>
      <c r="G182" s="7"/>
      <c r="H182" s="7"/>
      <c r="I182" s="7"/>
      <c r="J182" s="7"/>
    </row>
    <row r="183" spans="6:10" x14ac:dyDescent="0.2">
      <c r="F183" s="7"/>
      <c r="G183" s="7"/>
      <c r="H183" s="7"/>
      <c r="I183" s="7"/>
      <c r="J183" s="7"/>
    </row>
    <row r="184" spans="6:10" x14ac:dyDescent="0.2">
      <c r="F184" s="7"/>
      <c r="G184" s="7"/>
      <c r="H184" s="7"/>
      <c r="I184" s="7"/>
      <c r="J184" s="7"/>
    </row>
    <row r="185" spans="6:10" x14ac:dyDescent="0.2">
      <c r="F185" s="7"/>
      <c r="G185" s="7"/>
      <c r="H185" s="7"/>
      <c r="I185" s="7"/>
      <c r="J185" s="7"/>
    </row>
    <row r="186" spans="6:10" x14ac:dyDescent="0.2">
      <c r="F186" s="7"/>
      <c r="G186" s="7"/>
      <c r="H186" s="7"/>
      <c r="I186" s="7"/>
      <c r="J186" s="7"/>
    </row>
    <row r="187" spans="6:10" x14ac:dyDescent="0.2">
      <c r="F187" s="7"/>
      <c r="G187" s="7"/>
      <c r="H187" s="7"/>
      <c r="I187" s="7"/>
      <c r="J187" s="7"/>
    </row>
    <row r="188" spans="6:10" x14ac:dyDescent="0.2">
      <c r="F188" s="7"/>
      <c r="G188" s="7"/>
      <c r="H188" s="7"/>
      <c r="I188" s="7"/>
      <c r="J188" s="7"/>
    </row>
    <row r="189" spans="6:10" x14ac:dyDescent="0.2">
      <c r="F189" s="7"/>
      <c r="G189" s="7"/>
      <c r="H189" s="7"/>
      <c r="I189" s="7"/>
      <c r="J189" s="7"/>
    </row>
    <row r="190" spans="6:10" x14ac:dyDescent="0.2">
      <c r="F190" s="7"/>
      <c r="G190" s="7"/>
      <c r="H190" s="7"/>
      <c r="I190" s="7"/>
      <c r="J190" s="7"/>
    </row>
    <row r="191" spans="6:10" x14ac:dyDescent="0.2">
      <c r="F191" s="7"/>
      <c r="G191" s="7"/>
      <c r="H191" s="7"/>
      <c r="I191" s="7"/>
      <c r="J191" s="7"/>
    </row>
    <row r="192" spans="6:10" x14ac:dyDescent="0.2">
      <c r="F192" s="7"/>
      <c r="G192" s="7"/>
      <c r="H192" s="7"/>
      <c r="I192" s="7"/>
      <c r="J192" s="7"/>
    </row>
    <row r="193" spans="6:10" x14ac:dyDescent="0.2">
      <c r="F193" s="7"/>
      <c r="G193" s="7"/>
      <c r="H193" s="7"/>
      <c r="I193" s="7"/>
      <c r="J193" s="7"/>
    </row>
    <row r="194" spans="6:10" x14ac:dyDescent="0.2">
      <c r="F194" s="7"/>
      <c r="G194" s="7"/>
      <c r="H194" s="7"/>
      <c r="I194" s="7"/>
      <c r="J194" s="7"/>
    </row>
    <row r="195" spans="6:10" x14ac:dyDescent="0.2">
      <c r="F195" s="7"/>
      <c r="G195" s="7"/>
      <c r="H195" s="7"/>
      <c r="I195" s="7"/>
      <c r="J195" s="7"/>
    </row>
    <row r="196" spans="6:10" x14ac:dyDescent="0.2">
      <c r="F196" s="7"/>
      <c r="G196" s="7"/>
      <c r="H196" s="7"/>
      <c r="I196" s="7"/>
      <c r="J196" s="7"/>
    </row>
    <row r="197" spans="6:10" x14ac:dyDescent="0.2">
      <c r="F197" s="7"/>
      <c r="G197" s="7"/>
      <c r="H197" s="7"/>
      <c r="I197" s="7"/>
      <c r="J197" s="7"/>
    </row>
    <row r="198" spans="6:10" x14ac:dyDescent="0.2">
      <c r="F198" s="7"/>
      <c r="G198" s="7"/>
      <c r="H198" s="7"/>
      <c r="I198" s="7"/>
      <c r="J198" s="7"/>
    </row>
    <row r="199" spans="6:10" x14ac:dyDescent="0.2">
      <c r="F199" s="7"/>
      <c r="G199" s="7"/>
      <c r="H199" s="7"/>
      <c r="I199" s="7"/>
      <c r="J199" s="7"/>
    </row>
    <row r="200" spans="6:10" x14ac:dyDescent="0.2">
      <c r="F200" s="7"/>
      <c r="G200" s="7"/>
      <c r="H200" s="7"/>
      <c r="I200" s="7"/>
      <c r="J200" s="7"/>
    </row>
    <row r="201" spans="6:10" x14ac:dyDescent="0.2">
      <c r="F201" s="7"/>
      <c r="G201" s="7"/>
      <c r="H201" s="7"/>
      <c r="I201" s="7"/>
      <c r="J201" s="7"/>
    </row>
    <row r="202" spans="6:10" x14ac:dyDescent="0.2">
      <c r="F202" s="7"/>
      <c r="G202" s="7"/>
      <c r="H202" s="7"/>
      <c r="I202" s="7"/>
      <c r="J202" s="7"/>
    </row>
    <row r="203" spans="6:10" x14ac:dyDescent="0.2">
      <c r="F203" s="7"/>
      <c r="G203" s="7"/>
      <c r="H203" s="7"/>
      <c r="I203" s="7"/>
      <c r="J203" s="7"/>
    </row>
    <row r="204" spans="6:10" x14ac:dyDescent="0.2">
      <c r="F204" s="7"/>
      <c r="G204" s="7"/>
      <c r="H204" s="7"/>
      <c r="I204" s="7"/>
      <c r="J204" s="7"/>
    </row>
    <row r="205" spans="6:10" x14ac:dyDescent="0.2">
      <c r="F205" s="7"/>
      <c r="G205" s="7"/>
      <c r="H205" s="7"/>
      <c r="I205" s="7"/>
      <c r="J205" s="7"/>
    </row>
    <row r="206" spans="6:10" x14ac:dyDescent="0.2">
      <c r="F206" s="7"/>
      <c r="G206" s="7"/>
      <c r="H206" s="7"/>
      <c r="I206" s="7"/>
      <c r="J206" s="7"/>
    </row>
    <row r="207" spans="6:10" x14ac:dyDescent="0.2">
      <c r="F207" s="7"/>
      <c r="G207" s="7"/>
      <c r="H207" s="7"/>
      <c r="I207" s="7"/>
      <c r="J207" s="7"/>
    </row>
    <row r="208" spans="6:10" x14ac:dyDescent="0.2">
      <c r="F208" s="7"/>
      <c r="G208" s="7"/>
      <c r="H208" s="7"/>
      <c r="I208" s="7"/>
      <c r="J208" s="7"/>
    </row>
    <row r="209" spans="6:10" x14ac:dyDescent="0.2">
      <c r="F209" s="7"/>
      <c r="G209" s="7"/>
      <c r="H209" s="7"/>
      <c r="I209" s="7"/>
      <c r="J209" s="7"/>
    </row>
    <row r="210" spans="6:10" x14ac:dyDescent="0.2">
      <c r="F210" s="7"/>
      <c r="G210" s="7"/>
      <c r="H210" s="7"/>
      <c r="I210" s="7"/>
      <c r="J210" s="7"/>
    </row>
    <row r="211" spans="6:10" x14ac:dyDescent="0.2">
      <c r="F211" s="7"/>
      <c r="G211" s="7"/>
      <c r="H211" s="7"/>
      <c r="I211" s="7"/>
      <c r="J211" s="7"/>
    </row>
    <row r="212" spans="6:10" x14ac:dyDescent="0.2">
      <c r="F212" s="7"/>
      <c r="G212" s="7"/>
      <c r="H212" s="7"/>
      <c r="I212" s="7"/>
      <c r="J212" s="7"/>
    </row>
    <row r="213" spans="6:10" x14ac:dyDescent="0.2">
      <c r="F213" s="7"/>
      <c r="G213" s="7"/>
      <c r="H213" s="7"/>
      <c r="I213" s="7"/>
      <c r="J213" s="7"/>
    </row>
    <row r="214" spans="6:10" x14ac:dyDescent="0.2">
      <c r="F214" s="7"/>
      <c r="G214" s="7"/>
      <c r="H214" s="7"/>
      <c r="I214" s="7"/>
      <c r="J214" s="7"/>
    </row>
    <row r="215" spans="6:10" x14ac:dyDescent="0.2">
      <c r="F215" s="7"/>
      <c r="G215" s="7"/>
      <c r="H215" s="7"/>
      <c r="I215" s="7"/>
      <c r="J215" s="7"/>
    </row>
    <row r="216" spans="6:10" x14ac:dyDescent="0.2">
      <c r="F216" s="7"/>
      <c r="G216" s="7"/>
      <c r="H216" s="7"/>
      <c r="I216" s="7"/>
      <c r="J216" s="7"/>
    </row>
    <row r="217" spans="6:10" x14ac:dyDescent="0.2">
      <c r="F217" s="7"/>
      <c r="G217" s="7"/>
      <c r="H217" s="7"/>
      <c r="I217" s="7"/>
      <c r="J217" s="7"/>
    </row>
    <row r="218" spans="6:10" x14ac:dyDescent="0.2">
      <c r="F218" s="7"/>
      <c r="G218" s="7"/>
      <c r="H218" s="7"/>
      <c r="I218" s="7"/>
      <c r="J218" s="7"/>
    </row>
    <row r="219" spans="6:10" x14ac:dyDescent="0.2">
      <c r="F219" s="7"/>
      <c r="G219" s="7"/>
      <c r="H219" s="7"/>
      <c r="I219" s="7"/>
      <c r="J219" s="7"/>
    </row>
    <row r="220" spans="6:10" x14ac:dyDescent="0.2">
      <c r="F220" s="7"/>
      <c r="G220" s="7"/>
      <c r="H220" s="7"/>
      <c r="I220" s="7"/>
      <c r="J220" s="7"/>
    </row>
    <row r="221" spans="6:10" x14ac:dyDescent="0.2">
      <c r="F221" s="7"/>
      <c r="G221" s="7"/>
      <c r="H221" s="7"/>
      <c r="I221" s="7"/>
      <c r="J221" s="7"/>
    </row>
    <row r="222" spans="6:10" x14ac:dyDescent="0.2">
      <c r="F222" s="7"/>
      <c r="G222" s="7"/>
      <c r="H222" s="7"/>
      <c r="I222" s="7"/>
      <c r="J222" s="7"/>
    </row>
    <row r="223" spans="6:10" x14ac:dyDescent="0.2">
      <c r="F223" s="7"/>
      <c r="G223" s="7"/>
      <c r="H223" s="7"/>
      <c r="I223" s="7"/>
      <c r="J223" s="7"/>
    </row>
    <row r="224" spans="6:10" x14ac:dyDescent="0.2">
      <c r="F224" s="7"/>
      <c r="G224" s="7"/>
      <c r="H224" s="7"/>
      <c r="I224" s="7"/>
      <c r="J224" s="7"/>
    </row>
    <row r="225" spans="6:10" x14ac:dyDescent="0.2">
      <c r="F225" s="7"/>
      <c r="G225" s="7"/>
      <c r="H225" s="7"/>
      <c r="I225" s="7"/>
      <c r="J225" s="7"/>
    </row>
    <row r="226" spans="6:10" x14ac:dyDescent="0.2">
      <c r="F226" s="7"/>
      <c r="G226" s="7"/>
      <c r="H226" s="7"/>
      <c r="I226" s="7"/>
      <c r="J226" s="7"/>
    </row>
    <row r="227" spans="6:10" x14ac:dyDescent="0.2">
      <c r="F227" s="7"/>
      <c r="G227" s="7"/>
      <c r="H227" s="7"/>
      <c r="I227" s="7"/>
      <c r="J227" s="7"/>
    </row>
    <row r="228" spans="6:10" x14ac:dyDescent="0.2">
      <c r="F228" s="7"/>
      <c r="G228" s="7"/>
      <c r="H228" s="7"/>
      <c r="I228" s="7"/>
      <c r="J228" s="7"/>
    </row>
  </sheetData>
  <mergeCells count="7">
    <mergeCell ref="B5:B8"/>
    <mergeCell ref="B14:B17"/>
    <mergeCell ref="C18:E19"/>
    <mergeCell ref="C2:E3"/>
    <mergeCell ref="G4:I5"/>
    <mergeCell ref="C9:E10"/>
    <mergeCell ref="C11:E12"/>
  </mergeCells>
  <dataValidations count="1">
    <dataValidation operator="equal" allowBlank="1" showInputMessage="1" showErrorMessage="1" sqref="D5 D14" xr:uid="{00000000-0002-0000-0600-000000000000}"/>
  </dataValidations>
  <pageMargins left="0.7" right="0.7" top="0.75" bottom="0.75" header="0.3" footer="0.3"/>
  <pageSetup orientation="portrait" horizontalDpi="90" verticalDpi="90" r:id="rId1"/>
  <ignoredErrors>
    <ignoredError sqref="H7:H8 I7:I8" unlocked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3438944-2EA2-449B-89E4-46B2F657EDFB}">
  <ds:schemaRefs>
    <ds:schemaRef ds:uri="http://schemas.microsoft.com/office/2006/documentManagement/types"/>
    <ds:schemaRef ds:uri="http://schemas.microsoft.com/office/2006/metadata/properties"/>
    <ds:schemaRef ds:uri="http://purl.org/dc/terms/"/>
    <ds:schemaRef ds:uri="http://purl.org/dc/dcmitype/"/>
    <ds:schemaRef ds:uri="http://purl.org/dc/elements/1.1/"/>
    <ds:schemaRef ds:uri="http://schemas.openxmlformats.org/package/2006/metadata/core-properties"/>
    <ds:schemaRef ds:uri="http://www.w3.org/XML/1998/namespace"/>
    <ds:schemaRef ds:uri="http://schemas.microsoft.com/office/infopath/2007/PartnerControls"/>
  </ds:schemaRefs>
</ds:datastoreItem>
</file>

<file path=customXml/itemProps2.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4.xml><?xml version="1.0" encoding="utf-8"?>
<ds:datastoreItem xmlns:ds="http://schemas.openxmlformats.org/officeDocument/2006/customXml" ds:itemID="{88F88A1F-C3E4-402E-A85A-C9402E2A36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Product Backlog</vt:lpstr>
      <vt:lpstr>Sprint I Backlog</vt:lpstr>
      <vt:lpstr>Sprint II Backlog</vt:lpstr>
      <vt:lpstr>Stand up Meeting</vt:lpstr>
      <vt:lpstr>Retrospection</vt:lpstr>
      <vt:lpstr>Reference Data</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Jagadeesha Thimmappa</cp:lastModifiedBy>
  <dcterms:created xsi:type="dcterms:W3CDTF">1996-10-14T23:33:28Z</dcterms:created>
  <dcterms:modified xsi:type="dcterms:W3CDTF">2021-06-15T11:10:08Z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vijay.m01@ad.infosys.com</vt:lpwstr>
  </property>
  <property fmtid="{D5CDD505-2E9C-101B-9397-08002B2CF9AE}" pid="18" name="MSIP_Label_be4b3411-284d-4d31-bd4f-bc13ef7f1fd6_SetDate">
    <vt:lpwstr>2021-05-28T06:42:38.7066093Z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ActionId">
    <vt:lpwstr>f2ce00cd-dd58-44e1-8759-0d47827fb39e</vt:lpwstr>
  </property>
  <property fmtid="{D5CDD505-2E9C-101B-9397-08002B2CF9AE}" pid="22" name="MSIP_Label_be4b3411-284d-4d31-bd4f-bc13ef7f1fd6_Extended_MSFT_Method">
    <vt:lpwstr>Automatic</vt:lpwstr>
  </property>
  <property fmtid="{D5CDD505-2E9C-101B-9397-08002B2CF9AE}" pid="23" name="MSIP_Label_a0819fa7-4367-4500-ba88-dd630d977609_Enabled">
    <vt:lpwstr>True</vt:lpwstr>
  </property>
  <property fmtid="{D5CDD505-2E9C-101B-9397-08002B2CF9AE}" pid="24" name="MSIP_Label_a0819fa7-4367-4500-ba88-dd630d977609_SiteId">
    <vt:lpwstr>63ce7d59-2f3e-42cd-a8cc-be764cff5eb6</vt:lpwstr>
  </property>
  <property fmtid="{D5CDD505-2E9C-101B-9397-08002B2CF9AE}" pid="25" name="MSIP_Label_a0819fa7-4367-4500-ba88-dd630d977609_Owner">
    <vt:lpwstr>vijay.m01@ad.infosys.com</vt:lpwstr>
  </property>
  <property fmtid="{D5CDD505-2E9C-101B-9397-08002B2CF9AE}" pid="26" name="MSIP_Label_a0819fa7-4367-4500-ba88-dd630d977609_SetDate">
    <vt:lpwstr>2021-05-28T06:42:38.7066093Z</vt:lpwstr>
  </property>
  <property fmtid="{D5CDD505-2E9C-101B-9397-08002B2CF9AE}" pid="27" name="MSIP_Label_a0819fa7-4367-4500-ba88-dd630d977609_Name">
    <vt:lpwstr>Companywide usage</vt:lpwstr>
  </property>
  <property fmtid="{D5CDD505-2E9C-101B-9397-08002B2CF9AE}" pid="28" name="MSIP_Label_a0819fa7-4367-4500-ba88-dd630d977609_Application">
    <vt:lpwstr>Microsoft Azure Information Protection</vt:lpwstr>
  </property>
  <property fmtid="{D5CDD505-2E9C-101B-9397-08002B2CF9AE}" pid="29" name="MSIP_Label_a0819fa7-4367-4500-ba88-dd630d977609_ActionId">
    <vt:lpwstr>f2ce00cd-dd58-44e1-8759-0d47827fb39e</vt:lpwstr>
  </property>
  <property fmtid="{D5CDD505-2E9C-101B-9397-08002B2CF9AE}" pid="30" name="MSIP_Label_a0819fa7-4367-4500-ba88-dd630d977609_Parent">
    <vt:lpwstr>be4b3411-284d-4d31-bd4f-bc13ef7f1fd6</vt:lpwstr>
  </property>
  <property fmtid="{D5CDD505-2E9C-101B-9397-08002B2CF9AE}" pid="31" name="MSIP_Label_a0819fa7-4367-4500-ba88-dd630d977609_Extended_MSFT_Method">
    <vt:lpwstr>Automatic</vt:lpwstr>
  </property>
  <property fmtid="{D5CDD505-2E9C-101B-9397-08002B2CF9AE}" pid="32" name="Sensitivity">
    <vt:lpwstr>Internal Companywide usage</vt:lpwstr>
  </property>
</Properties>
</file>